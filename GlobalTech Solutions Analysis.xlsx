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vincent\Downloads\"/>
    </mc:Choice>
  </mc:AlternateContent>
  <xr:revisionPtr revIDLastSave="0" documentId="8_{515DEDCD-074C-46F2-9AA8-7626FD9A8354}" xr6:coauthVersionLast="47" xr6:coauthVersionMax="47" xr10:uidLastSave="{00000000-0000-0000-0000-000000000000}"/>
  <bookViews>
    <workbookView xWindow="-120" yWindow="-120" windowWidth="29040" windowHeight="15720" activeTab="2" xr2:uid="{00000000-000D-0000-FFFF-FFFF00000000}"/>
  </bookViews>
  <sheets>
    <sheet name="Pivot Table" sheetId="3" r:id="rId1"/>
    <sheet name="Analysis" sheetId="4" r:id="rId2"/>
    <sheet name="Dashboard" sheetId="6" r:id="rId3"/>
    <sheet name="Raw DataSet" sheetId="1" r:id="rId4"/>
  </sheets>
  <definedNames>
    <definedName name="_xlcn.WorksheetConnection_GlobalTechSolutionsDataset.xlsxTable11" hidden="1">Table1[]</definedName>
    <definedName name="Slicer_HireDate__Month">#N/A</definedName>
    <definedName name="Slicer_HireDate__Year">#N/A</definedName>
    <definedName name="Slicer_JobTitle">#N/A</definedName>
  </definedNames>
  <calcPr calcId="191029"/>
  <pivotCaches>
    <pivotCache cacheId="1070" r:id="rId5"/>
    <pivotCache cacheId="1073" r:id="rId6"/>
    <pivotCache cacheId="1076" r:id="rId7"/>
    <pivotCache cacheId="1079" r:id="rId8"/>
    <pivotCache cacheId="1082" r:id="rId9"/>
    <pivotCache cacheId="1085" r:id="rId10"/>
    <pivotCache cacheId="1088" r:id="rId11"/>
    <pivotCache cacheId="1091" r:id="rId12"/>
    <pivotCache cacheId="1094" r:id="rId13"/>
    <pivotCache cacheId="1108" r:id="rId14"/>
    <pivotCache cacheId="1121" r:id="rId15"/>
    <pivotCache cacheId="1147" r:id="rId16"/>
    <pivotCache cacheId="1170" r:id="rId17"/>
    <pivotCache cacheId="1192" r:id="rId18"/>
    <pivotCache cacheId="1202" r:id="rId19"/>
    <pivotCache cacheId="1263" r:id="rId20"/>
    <pivotCache cacheId="1279" r:id="rId21"/>
    <pivotCache cacheId="1289" r:id="rId22"/>
    <pivotCache cacheId="1308" r:id="rId23"/>
  </pivotCaches>
  <extLst>
    <ext xmlns:x14="http://schemas.microsoft.com/office/spreadsheetml/2009/9/main" uri="{876F7934-8845-4945-9796-88D515C7AA90}">
      <x14:pivotCaches>
        <pivotCache cacheId="153" r:id="rId24"/>
        <pivotCache cacheId="452"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lobalTech Solutions Dataset.xlsx!Table1"/>
        </x15:modelTables>
        <x15:extLst>
          <ext xmlns:x16="http://schemas.microsoft.com/office/spreadsheetml/2014/11/main" uri="{9835A34E-60A6-4A7C-AAB8-D5F71C897F49}">
            <x16:modelTimeGroupings>
              <x16:modelTimeGrouping tableName="Table1" columnName="HireDate" columnId="HireDate">
                <x16:calculatedTimeColumn columnName="HireDate (Year)" columnId="HireDate (Year)" contentType="years" isSelected="1"/>
                <x16:calculatedTimeColumn columnName="HireDate (Quarter)" columnId="HireDate (Quarter)" contentType="quarters" isSelected="1"/>
                <x16:calculatedTimeColumn columnName="HireDate (Month Index)" columnId="HireDate (Month Index)" contentType="monthsindex" isSelected="1"/>
                <x16:calculatedTimeColumn columnName="HireDate (Month)" columnId="Hir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K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E9" i="3"/>
  <c r="E10" i="3"/>
  <c r="E8" i="3"/>
  <c r="E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2F134-7336-4F90-8977-69E385510F6B}" keepAlive="1" name="Query - Table 1" description="Connection to the 'Table 1' query in the workbook." type="5" refreshedVersion="0" background="1">
    <dbPr connection="Provider=Microsoft.Mashup.OleDb.1;Data Source=$Workbook$;Location=&quot;Table 1&quot;;Extended Properties=&quot;&quot;" command="SELECT * FROM [Table 1]"/>
  </connection>
  <connection id="2" xr16:uid="{9FB8E0A7-9F33-459F-8C46-8437BA437F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F37A2C9-6EBD-4141-A5F3-42E7FE3B0E8F}" name="WorksheetConnection_GlobalTech Solutions Dataset.xlsx!Table1" type="102" refreshedVersion="8" minRefreshableVersion="5">
    <extLst>
      <ext xmlns:x15="http://schemas.microsoft.com/office/spreadsheetml/2010/11/main" uri="{DE250136-89BD-433C-8126-D09CA5730AF9}">
        <x15:connection id="Table1" autoDelete="1">
          <x15:rangePr sourceName="_xlcn.WorksheetConnection_GlobalTechSolutionsDataset.xlsxTable11"/>
        </x15:connection>
      </ext>
    </extLst>
  </connection>
</connections>
</file>

<file path=xl/sharedStrings.xml><?xml version="1.0" encoding="utf-8"?>
<sst xmlns="http://schemas.openxmlformats.org/spreadsheetml/2006/main" count="396" uniqueCount="175">
  <si>
    <t>EmpID</t>
  </si>
  <si>
    <t>FullName</t>
  </si>
  <si>
    <t>JobTitle</t>
  </si>
  <si>
    <t>Department</t>
  </si>
  <si>
    <t>HireDate</t>
  </si>
  <si>
    <t>Salary</t>
  </si>
  <si>
    <t>YearsExperience</t>
  </si>
  <si>
    <t>Country</t>
  </si>
  <si>
    <t>City</t>
  </si>
  <si>
    <t>EMP001</t>
  </si>
  <si>
    <t>Laura Doe</t>
  </si>
  <si>
    <t>HR Specialist</t>
  </si>
  <si>
    <t>Finance</t>
  </si>
  <si>
    <t>Canada</t>
  </si>
  <si>
    <t>Toronto</t>
  </si>
  <si>
    <t>EMP002</t>
  </si>
  <si>
    <t>John Brown</t>
  </si>
  <si>
    <t>Data Analyst</t>
  </si>
  <si>
    <t>IT</t>
  </si>
  <si>
    <t>UK</t>
  </si>
  <si>
    <t>Berlin</t>
  </si>
  <si>
    <t>EMP003</t>
  </si>
  <si>
    <t>Jane Smith</t>
  </si>
  <si>
    <t>Developer</t>
  </si>
  <si>
    <t>Sales</t>
  </si>
  <si>
    <t>EMP004</t>
  </si>
  <si>
    <t>James Johnson</t>
  </si>
  <si>
    <t>Project Manager</t>
  </si>
  <si>
    <t>Operations</t>
  </si>
  <si>
    <t>USA</t>
  </si>
  <si>
    <t>New York</t>
  </si>
  <si>
    <t>EMP005</t>
  </si>
  <si>
    <t>Sophia Lee</t>
  </si>
  <si>
    <t>Data Scientist</t>
  </si>
  <si>
    <t>India</t>
  </si>
  <si>
    <t>Delhi</t>
  </si>
  <si>
    <t>EMP006</t>
  </si>
  <si>
    <t>David Kim</t>
  </si>
  <si>
    <t>Financial Analyst</t>
  </si>
  <si>
    <t>EMP007</t>
  </si>
  <si>
    <t>Emma Garcia</t>
  </si>
  <si>
    <t>Designer</t>
  </si>
  <si>
    <t>Marketing</t>
  </si>
  <si>
    <t>France</t>
  </si>
  <si>
    <t>Paris</t>
  </si>
  <si>
    <t>EMP008</t>
  </si>
  <si>
    <t>Daniel Scott</t>
  </si>
  <si>
    <t>Software Engineer</t>
  </si>
  <si>
    <t>Chicago</t>
  </si>
  <si>
    <t>EMP009</t>
  </si>
  <si>
    <t>Olivia Miller</t>
  </si>
  <si>
    <t>Product Manager</t>
  </si>
  <si>
    <t>Germany</t>
  </si>
  <si>
    <t>EMP010</t>
  </si>
  <si>
    <t>William Davis</t>
  </si>
  <si>
    <t>HR Manager</t>
  </si>
  <si>
    <t>HR</t>
  </si>
  <si>
    <t>Montreal</t>
  </si>
  <si>
    <t>EMP011</t>
  </si>
  <si>
    <t>Ethan Wilson</t>
  </si>
  <si>
    <t>Support Engineer</t>
  </si>
  <si>
    <t>Boston</t>
  </si>
  <si>
    <t>EMP012</t>
  </si>
  <si>
    <t>Ava Taylor</t>
  </si>
  <si>
    <t>Marketing Specialist</t>
  </si>
  <si>
    <t>Lyon</t>
  </si>
  <si>
    <t>EMP013</t>
  </si>
  <si>
    <t>Michael Clark</t>
  </si>
  <si>
    <t>DevOps Engineer</t>
  </si>
  <si>
    <t>Mumbai</t>
  </si>
  <si>
    <t>EMP014</t>
  </si>
  <si>
    <t>Isabella White</t>
  </si>
  <si>
    <t>Vancouver</t>
  </si>
  <si>
    <t>EMP015</t>
  </si>
  <si>
    <t>Alexander Hall</t>
  </si>
  <si>
    <t>London</t>
  </si>
  <si>
    <t>EMP016</t>
  </si>
  <si>
    <t>Mia Young</t>
  </si>
  <si>
    <t>Recruiter</t>
  </si>
  <si>
    <t>Miami</t>
  </si>
  <si>
    <t>EMP017</t>
  </si>
  <si>
    <t>Jacob Allen</t>
  </si>
  <si>
    <t>UI/UX Designer</t>
  </si>
  <si>
    <t>EMP018</t>
  </si>
  <si>
    <t>Charlotte King</t>
  </si>
  <si>
    <t>Bangalore</t>
  </si>
  <si>
    <t>EMP019</t>
  </si>
  <si>
    <t>Henry Wright</t>
  </si>
  <si>
    <t>Accountant</t>
  </si>
  <si>
    <t>EMP020</t>
  </si>
  <si>
    <t>Amelia Adams</t>
  </si>
  <si>
    <t>Manchester</t>
  </si>
  <si>
    <t>EMP021</t>
  </si>
  <si>
    <t>Lucas Nelson</t>
  </si>
  <si>
    <t>EMP022</t>
  </si>
  <si>
    <t>Harper Baker</t>
  </si>
  <si>
    <t>Marketing Analyst</t>
  </si>
  <si>
    <t>Hamburg</t>
  </si>
  <si>
    <t>EMP023</t>
  </si>
  <si>
    <t>Daniel Perez</t>
  </si>
  <si>
    <t>Product Owner</t>
  </si>
  <si>
    <t>San Francisco</t>
  </si>
  <si>
    <t>EMP024</t>
  </si>
  <si>
    <t>Evelyn Rivera</t>
  </si>
  <si>
    <t>Customer Support</t>
  </si>
  <si>
    <t>Bristol</t>
  </si>
  <si>
    <t>EMP025</t>
  </si>
  <si>
    <t>Matthew Carter</t>
  </si>
  <si>
    <t>Hyderabad</t>
  </si>
  <si>
    <t>EMP026</t>
  </si>
  <si>
    <t>Sofia Mitchell</t>
  </si>
  <si>
    <t>Data Engineer</t>
  </si>
  <si>
    <t>EMP027</t>
  </si>
  <si>
    <t>Benjamin Roberts</t>
  </si>
  <si>
    <t>Sales Executive</t>
  </si>
  <si>
    <t>Ottawa</t>
  </si>
  <si>
    <t>EMP028</t>
  </si>
  <si>
    <t>Abigail Turner</t>
  </si>
  <si>
    <t>HR Generalist</t>
  </si>
  <si>
    <t>Atlanta</t>
  </si>
  <si>
    <t>EMP029</t>
  </si>
  <si>
    <t>Joseph Phillips</t>
  </si>
  <si>
    <t>Chennai</t>
  </si>
  <si>
    <t>EMP030</t>
  </si>
  <si>
    <t>Emily Campbell</t>
  </si>
  <si>
    <t>Marketing Manager</t>
  </si>
  <si>
    <t>Liverpool</t>
  </si>
  <si>
    <t>Count of EmpID</t>
  </si>
  <si>
    <t>Sum of Salary</t>
  </si>
  <si>
    <t>Average of YearsExperience</t>
  </si>
  <si>
    <t>Distinct Count of Department</t>
  </si>
  <si>
    <t>Total Employees</t>
  </si>
  <si>
    <t>Average Year Spent</t>
  </si>
  <si>
    <t>Numbers of Department</t>
  </si>
  <si>
    <t>Average of Salary</t>
  </si>
  <si>
    <t>Average Salary Earned</t>
  </si>
  <si>
    <t>KPIs</t>
  </si>
  <si>
    <t>Row Labels</t>
  </si>
  <si>
    <t>Grand Total</t>
  </si>
  <si>
    <t>Numbers of Staff</t>
  </si>
  <si>
    <t>Total Salary</t>
  </si>
  <si>
    <t>Average Salary</t>
  </si>
  <si>
    <t>Employees Distribution by Depart, Total Salary &amp; Average Salary</t>
  </si>
  <si>
    <t>2012</t>
  </si>
  <si>
    <t>2013</t>
  </si>
  <si>
    <t>2014</t>
  </si>
  <si>
    <t>2015</t>
  </si>
  <si>
    <t>2016</t>
  </si>
  <si>
    <t>2017</t>
  </si>
  <si>
    <t>2018</t>
  </si>
  <si>
    <t>2019</t>
  </si>
  <si>
    <t>2020</t>
  </si>
  <si>
    <t>2021</t>
  </si>
  <si>
    <t>2022</t>
  </si>
  <si>
    <t>Yearly Hiring Trend</t>
  </si>
  <si>
    <t>Sum of YearsExperience</t>
  </si>
  <si>
    <t>Avg Years of Exp.</t>
  </si>
  <si>
    <t>No.of Employee</t>
  </si>
  <si>
    <t>Emp Distribution Across Depart. &amp; Avg Years of Exp</t>
  </si>
  <si>
    <t>Top 3 Cities With the Highest WorkForce &amp; Salary</t>
  </si>
  <si>
    <t>Bottom 3 Departments With Serving Emp.</t>
  </si>
  <si>
    <t>Employees With Less Than 3 Years Exp.</t>
  </si>
  <si>
    <t>Salary Range Across Countries</t>
  </si>
  <si>
    <t>Top 5 Salary Earners</t>
  </si>
  <si>
    <t>Employees With 10years+ Experience</t>
  </si>
  <si>
    <t>Department With Highest Years of Experience</t>
  </si>
  <si>
    <t>Average Salary Across Department</t>
  </si>
  <si>
    <t>Country With Highest Workforce</t>
  </si>
  <si>
    <t>City With Highest Workforce</t>
  </si>
  <si>
    <t>Department Distribution Across Country</t>
  </si>
  <si>
    <t>Top 5 Earners</t>
  </si>
  <si>
    <t>Departtment with Highest Salary Expenditure</t>
  </si>
  <si>
    <t>Most Common Job Title</t>
  </si>
  <si>
    <t>Class Category</t>
  </si>
  <si>
    <t>Department 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</si>
</sst>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65" formatCode="0.0"/>
    <numFmt numFmtId="166" formatCode="[&gt;1000]\$#0.0,&quot;K&quot;;0"/>
    <numFmt numFmtId="168" formatCode="[&gt;=1000000]\$#0.0,,\ &quot;M&quot;;[&gt;=1000]\$#0.0,&quot;K&quot;;0"/>
    <numFmt numFmtId="169" formatCode="[&gt;=1000000]\$#0.0,,&quot;M&quot;;[&gt;=1000]\$#0.0,&quot;K&quot;;0"/>
  </numFmts>
  <fonts count="10" x14ac:knownFonts="1">
    <font>
      <sz val="10"/>
      <color rgb="FF000000"/>
      <name val="Times New Roman"/>
      <charset val="204"/>
    </font>
    <font>
      <sz val="11"/>
      <name val="Calibri"/>
      <family val="2"/>
      <scheme val="minor"/>
    </font>
    <font>
      <sz val="10"/>
      <color rgb="FF000000"/>
      <name val="Calibri"/>
      <family val="2"/>
      <scheme val="minor"/>
    </font>
    <font>
      <sz val="12"/>
      <name val="Calibri"/>
      <family val="2"/>
    </font>
    <font>
      <sz val="12"/>
      <color theme="1"/>
      <name val="Calibri"/>
      <family val="2"/>
      <scheme val="minor"/>
    </font>
    <font>
      <sz val="10"/>
      <color rgb="FF000000"/>
      <name val="Times New Roman"/>
      <family val="1"/>
    </font>
    <font>
      <b/>
      <sz val="12"/>
      <color rgb="FF000000"/>
      <name val="Times New Roman"/>
      <family val="1"/>
    </font>
    <font>
      <b/>
      <sz val="14"/>
      <color rgb="FF000000"/>
      <name val="Times New Roman"/>
      <family val="1"/>
    </font>
    <font>
      <b/>
      <sz val="16"/>
      <color rgb="FF000000"/>
      <name val="Times New Roman"/>
      <family val="1"/>
    </font>
    <font>
      <sz val="12"/>
      <color theme="1"/>
      <name val="Calibri"/>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2">
    <xf numFmtId="0" fontId="0" fillId="0" borderId="0" xfId="0" applyAlignment="1">
      <alignment horizontal="left" vertical="top"/>
    </xf>
    <xf numFmtId="14" fontId="0" fillId="0" borderId="0" xfId="0" applyNumberFormat="1" applyAlignment="1">
      <alignment horizontal="left" vertical="top"/>
    </xf>
    <xf numFmtId="0" fontId="1" fillId="0" borderId="0" xfId="0" applyFont="1" applyAlignment="1">
      <alignment horizontal="left" vertical="top" wrapText="1"/>
    </xf>
    <xf numFmtId="14" fontId="2" fillId="0" borderId="0" xfId="0" applyNumberFormat="1" applyFont="1" applyAlignment="1">
      <alignment horizontal="left" vertical="top"/>
    </xf>
    <xf numFmtId="0" fontId="3" fillId="0" borderId="0" xfId="0" applyFont="1" applyAlignment="1">
      <alignment horizontal="left" vertical="top" wrapText="1"/>
    </xf>
    <xf numFmtId="49" fontId="4" fillId="0" borderId="0" xfId="0" applyNumberFormat="1" applyFont="1" applyAlignment="1">
      <alignment horizontal="left" vertical="top"/>
    </xf>
    <xf numFmtId="49" fontId="2" fillId="0" borderId="0" xfId="0" applyNumberFormat="1" applyFont="1" applyAlignment="1">
      <alignment horizontal="left" vertical="top"/>
    </xf>
    <xf numFmtId="49" fontId="0" fillId="0" borderId="0" xfId="0" applyNumberFormat="1" applyAlignment="1">
      <alignment horizontal="left" vertical="top"/>
    </xf>
    <xf numFmtId="14" fontId="4" fillId="0" borderId="0" xfId="0" applyNumberFormat="1" applyFont="1" applyAlignment="1">
      <alignment horizontal="left" vertical="top"/>
    </xf>
    <xf numFmtId="164" fontId="4" fillId="0" borderId="0" xfId="0" applyNumberFormat="1" applyFont="1" applyAlignment="1">
      <alignment horizontal="left" vertical="top"/>
    </xf>
    <xf numFmtId="164" fontId="2" fillId="0" borderId="0" xfId="0" applyNumberFormat="1" applyFont="1" applyAlignment="1">
      <alignment horizontal="left" vertical="top"/>
    </xf>
    <xf numFmtId="164" fontId="0" fillId="0" borderId="0" xfId="0" applyNumberFormat="1" applyAlignment="1">
      <alignment horizontal="left" vertical="top"/>
    </xf>
    <xf numFmtId="165" fontId="4" fillId="0" borderId="0" xfId="0" applyNumberFormat="1" applyFont="1" applyAlignment="1">
      <alignment horizontal="left" vertical="top"/>
    </xf>
    <xf numFmtId="165" fontId="2" fillId="0" borderId="0" xfId="0" applyNumberFormat="1" applyFont="1" applyAlignment="1">
      <alignment horizontal="left" vertical="top"/>
    </xf>
    <xf numFmtId="165" fontId="0" fillId="0" borderId="0" xfId="0" applyNumberFormat="1" applyAlignment="1">
      <alignment horizontal="left" vertical="top"/>
    </xf>
    <xf numFmtId="0" fontId="0" fillId="2" borderId="0" xfId="0" applyFill="1" applyAlignment="1">
      <alignment horizontal="left" vertical="top"/>
    </xf>
    <xf numFmtId="0" fontId="0" fillId="0" borderId="0" xfId="0" applyNumberFormat="1" applyAlignment="1">
      <alignment horizontal="left" vertical="top"/>
    </xf>
    <xf numFmtId="0" fontId="8" fillId="0" borderId="1" xfId="0" applyFont="1" applyBorder="1" applyAlignment="1">
      <alignment horizontal="center" vertical="top"/>
    </xf>
    <xf numFmtId="0" fontId="0" fillId="0" borderId="1" xfId="0" applyBorder="1" applyAlignment="1">
      <alignment horizontal="left" vertical="top"/>
    </xf>
    <xf numFmtId="0" fontId="5" fillId="0" borderId="1" xfId="0" applyFont="1" applyBorder="1" applyAlignment="1">
      <alignment horizontal="left" vertical="top"/>
    </xf>
    <xf numFmtId="166" fontId="0" fillId="0" borderId="1" xfId="0" applyNumberFormat="1" applyBorder="1" applyAlignment="1">
      <alignment horizontal="left" vertical="top"/>
    </xf>
    <xf numFmtId="0" fontId="6" fillId="0" borderId="1" xfId="0" applyFont="1" applyBorder="1" applyAlignment="1">
      <alignment horizontal="center" vertical="top"/>
    </xf>
    <xf numFmtId="0" fontId="0" fillId="0" borderId="1" xfId="0" applyBorder="1" applyAlignment="1">
      <alignment horizontal="center" vertical="top"/>
    </xf>
    <xf numFmtId="0" fontId="0" fillId="0" borderId="1" xfId="0" pivotButton="1" applyBorder="1" applyAlignment="1">
      <alignment horizontal="left" vertical="top"/>
    </xf>
    <xf numFmtId="0" fontId="0" fillId="0" borderId="1" xfId="0" applyNumberFormat="1" applyBorder="1" applyAlignment="1">
      <alignment horizontal="left" vertical="top"/>
    </xf>
    <xf numFmtId="168" fontId="0" fillId="0" borderId="1" xfId="0" applyNumberFormat="1" applyBorder="1" applyAlignment="1">
      <alignment horizontal="left" vertical="top"/>
    </xf>
    <xf numFmtId="0" fontId="0" fillId="0" borderId="2" xfId="0" applyBorder="1" applyAlignment="1">
      <alignment horizontal="center" vertical="top"/>
    </xf>
    <xf numFmtId="0" fontId="6" fillId="0" borderId="2" xfId="0" applyFont="1" applyBorder="1" applyAlignment="1">
      <alignment horizontal="center" vertical="top"/>
    </xf>
    <xf numFmtId="165" fontId="0" fillId="0" borderId="1" xfId="0" applyNumberFormat="1" applyBorder="1" applyAlignment="1">
      <alignment horizontal="left" vertical="top"/>
    </xf>
    <xf numFmtId="0" fontId="0" fillId="0" borderId="1" xfId="0" applyBorder="1" applyAlignment="1">
      <alignment horizontal="left" vertical="top" indent="1"/>
    </xf>
    <xf numFmtId="0" fontId="0" fillId="0" borderId="1" xfId="0" applyBorder="1" applyAlignment="1">
      <alignment vertical="top"/>
    </xf>
    <xf numFmtId="0" fontId="6" fillId="0" borderId="3" xfId="0" applyFont="1" applyBorder="1" applyAlignment="1">
      <alignment horizontal="center" vertical="top"/>
    </xf>
    <xf numFmtId="0" fontId="6" fillId="0" borderId="5" xfId="0" applyFont="1" applyBorder="1" applyAlignment="1">
      <alignment horizontal="center" vertical="top"/>
    </xf>
    <xf numFmtId="0" fontId="6" fillId="0" borderId="4" xfId="0" applyFont="1"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168" fontId="0" fillId="0" borderId="0" xfId="0" applyNumberFormat="1" applyBorder="1" applyAlignment="1">
      <alignment horizontal="left" vertical="top"/>
    </xf>
    <xf numFmtId="0" fontId="7" fillId="0" borderId="1" xfId="0" applyFont="1" applyBorder="1" applyAlignment="1">
      <alignment horizontal="center" vertical="top"/>
    </xf>
    <xf numFmtId="0" fontId="7" fillId="0" borderId="2" xfId="0" applyFont="1" applyBorder="1" applyAlignment="1">
      <alignment horizontal="center" vertical="top"/>
    </xf>
    <xf numFmtId="169" fontId="0" fillId="0" borderId="1" xfId="0" applyNumberFormat="1" applyBorder="1" applyAlignment="1">
      <alignment horizontal="left" vertical="top"/>
    </xf>
    <xf numFmtId="0" fontId="2" fillId="0" borderId="0" xfId="0" applyFont="1" applyAlignment="1">
      <alignment horizontal="left" vertical="top"/>
    </xf>
    <xf numFmtId="0" fontId="9" fillId="0" borderId="0" xfId="0" applyFont="1" applyAlignment="1">
      <alignment horizontal="left" vertical="top"/>
    </xf>
  </cellXfs>
  <cellStyles count="1">
    <cellStyle name="Normal" xfId="0" builtinId="0"/>
  </cellStyles>
  <dxfs count="310">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0,,&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gt;=1000000]\$#0.0,,\ &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6"/>
        </bottom>
        <vertical/>
        <horizontal/>
      </border>
    </dxf>
    <dxf>
      <font>
        <b/>
        <i val="0"/>
        <sz val="24"/>
        <color theme="1"/>
        <name val="Algerian"/>
        <family val="5"/>
        <scheme val="none"/>
      </font>
      <fill>
        <patternFill>
          <bgColor rgb="FFE9EDEC"/>
        </patternFill>
      </fill>
      <border diagonalUp="0" diagonalDown="0">
        <left/>
        <right/>
        <top/>
        <bottom/>
        <vertical/>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8" formatCode="[&gt;=1000000]\$#0.0,,\ &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8" formatCode="[&gt;=1000000]\$#0.0,,\ &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gt;=1000000]\$#0.0,,\ &quot;M&quot;;[&gt;=10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libri"/>
        <family val="2"/>
        <scheme val="minor"/>
      </font>
      <numFmt numFmtId="30" formatCode="@"/>
    </dxf>
    <dxf>
      <font>
        <strike val="0"/>
        <outline val="0"/>
        <shadow val="0"/>
        <u val="none"/>
        <vertAlign val="baseline"/>
        <name val="Calibri"/>
        <family val="2"/>
        <scheme val="minor"/>
      </font>
      <numFmt numFmtId="30" formatCode="@"/>
    </dxf>
    <dxf>
      <font>
        <strike val="0"/>
        <outline val="0"/>
        <shadow val="0"/>
        <u val="none"/>
        <vertAlign val="baseline"/>
        <name val="Calibri"/>
        <family val="2"/>
        <scheme val="minor"/>
      </font>
      <numFmt numFmtId="165" formatCode="0.0"/>
    </dxf>
    <dxf>
      <font>
        <strike val="0"/>
        <outline val="0"/>
        <shadow val="0"/>
        <u val="none"/>
        <vertAlign val="baseline"/>
        <name val="Calibri"/>
        <family val="2"/>
        <scheme val="minor"/>
      </font>
      <numFmt numFmtId="164" formatCode="_-[$$-409]* #,##0.00_ ;_-[$$-409]* \-#,##0.00\ ;_-[$$-409]* &quot;-&quot;??_ ;_-@_ "/>
    </dxf>
    <dxf>
      <font>
        <strike val="0"/>
        <outline val="0"/>
        <shadow val="0"/>
        <u val="none"/>
        <vertAlign val="baseline"/>
        <name val="Calibri"/>
        <family val="2"/>
        <scheme val="minor"/>
      </font>
      <numFmt numFmtId="19" formatCode="dd/mm/yyyy"/>
      <alignment horizontal="left" vertical="top" textRotation="0" wrapText="0" indent="0" justifyLastLine="0" shrinkToFit="0" readingOrder="0"/>
    </dxf>
    <dxf>
      <font>
        <strike val="0"/>
        <outline val="0"/>
        <shadow val="0"/>
        <u val="none"/>
        <vertAlign val="baseline"/>
        <name val="Calibri"/>
        <family val="2"/>
        <scheme val="minor"/>
      </font>
      <numFmt numFmtId="30" formatCode="@"/>
    </dxf>
    <dxf>
      <font>
        <strike val="0"/>
        <outline val="0"/>
        <shadow val="0"/>
        <u val="none"/>
        <vertAlign val="baseline"/>
        <name val="Calibri"/>
        <family val="2"/>
        <scheme val="minor"/>
      </font>
      <numFmt numFmtId="30" formatCode="@"/>
    </dxf>
    <dxf>
      <font>
        <strike val="0"/>
        <outline val="0"/>
        <shadow val="0"/>
        <u val="none"/>
        <vertAlign val="baseline"/>
        <name val="Calibri"/>
        <family val="2"/>
        <scheme val="minor"/>
      </font>
      <numFmt numFmtId="30" formatCode="@"/>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u val="none"/>
        <vertAlign val="baseline"/>
        <name val="Calibri"/>
        <family val="2"/>
        <scheme val="minor"/>
      </font>
    </dxf>
    <dxf>
      <font>
        <strike val="0"/>
        <outline val="0"/>
        <shadow val="0"/>
        <u val="none"/>
        <vertAlign val="baseline"/>
        <sz val="12"/>
        <name val="Calibri"/>
      </font>
    </dxf>
  </dxfs>
  <tableStyles count="1" defaultTableStyle="TableStyleMedium9" defaultPivotStyle="PivotStyleLight16">
    <tableStyle name="SlicerStyleLight3 2" pivot="0" table="0" count="10" xr9:uid="{6ADFE3A3-71A1-4CE8-A662-9BEC21A60058}">
      <tableStyleElement type="wholeTable" dxfId="230"/>
      <tableStyleElement type="headerRow" dxfId="229"/>
    </tableStyle>
  </tableStyles>
  <colors>
    <mruColors>
      <color rgb="FFE9EDEC"/>
      <color rgb="FFA8B7B4"/>
      <color rgb="FF3E545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 Analysis.xlsx]Analysis!PivotTable19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of Experience VS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Analysis!$D$45</c:f>
              <c:strCache>
                <c:ptCount val="1"/>
                <c:pt idx="0">
                  <c:v>Total</c:v>
                </c:pt>
              </c:strCache>
            </c:strRef>
          </c:tx>
          <c:spPr>
            <a:solidFill>
              <a:schemeClr val="accent1"/>
            </a:solidFill>
            <a:ln>
              <a:noFill/>
            </a:ln>
            <a:effectLst/>
          </c:spPr>
          <c:invertIfNegative val="0"/>
          <c:cat>
            <c:multiLvlStrRef>
              <c:f>Analysis!$C$46:$C$106</c:f>
              <c:multiLvlStrCache>
                <c:ptCount val="30"/>
                <c:lvl>
                  <c:pt idx="0">
                    <c:v>Sales</c:v>
                  </c:pt>
                  <c:pt idx="1">
                    <c:v>Marketing</c:v>
                  </c:pt>
                  <c:pt idx="2">
                    <c:v>IT</c:v>
                  </c:pt>
                  <c:pt idx="3">
                    <c:v>Sales</c:v>
                  </c:pt>
                  <c:pt idx="4">
                    <c:v>IT</c:v>
                  </c:pt>
                  <c:pt idx="5">
                    <c:v>Sales</c:v>
                  </c:pt>
                  <c:pt idx="6">
                    <c:v>HR</c:v>
                  </c:pt>
                  <c:pt idx="7">
                    <c:v>IT</c:v>
                  </c:pt>
                  <c:pt idx="8">
                    <c:v>Marketing</c:v>
                  </c:pt>
                  <c:pt idx="9">
                    <c:v>IT</c:v>
                  </c:pt>
                  <c:pt idx="10">
                    <c:v>IT</c:v>
                  </c:pt>
                  <c:pt idx="11">
                    <c:v>Marketing</c:v>
                  </c:pt>
                  <c:pt idx="12">
                    <c:v>HR</c:v>
                  </c:pt>
                  <c:pt idx="13">
                    <c:v>Finance</c:v>
                  </c:pt>
                  <c:pt idx="14">
                    <c:v>Finance</c:v>
                  </c:pt>
                  <c:pt idx="15">
                    <c:v>Sales</c:v>
                  </c:pt>
                  <c:pt idx="16">
                    <c:v>IT</c:v>
                  </c:pt>
                  <c:pt idx="17">
                    <c:v>Marketing</c:v>
                  </c:pt>
                  <c:pt idx="18">
                    <c:v>Finance</c:v>
                  </c:pt>
                  <c:pt idx="19">
                    <c:v>HR</c:v>
                  </c:pt>
                  <c:pt idx="20">
                    <c:v>Sales</c:v>
                  </c:pt>
                  <c:pt idx="21">
                    <c:v>IT</c:v>
                  </c:pt>
                  <c:pt idx="22">
                    <c:v>Operations</c:v>
                  </c:pt>
                  <c:pt idx="23">
                    <c:v>IT</c:v>
                  </c:pt>
                  <c:pt idx="24">
                    <c:v>Marketing</c:v>
                  </c:pt>
                  <c:pt idx="25">
                    <c:v>Finance</c:v>
                  </c:pt>
                  <c:pt idx="26">
                    <c:v>HR</c:v>
                  </c:pt>
                  <c:pt idx="27">
                    <c:v>Operations</c:v>
                  </c:pt>
                  <c:pt idx="28">
                    <c:v>IT</c:v>
                  </c:pt>
                  <c:pt idx="29">
                    <c:v>Finance</c:v>
                  </c:pt>
                </c:lvl>
                <c:lvl>
                  <c:pt idx="0">
                    <c:v>1.3</c:v>
                  </c:pt>
                  <c:pt idx="1">
                    <c:v>2.1</c:v>
                  </c:pt>
                  <c:pt idx="2">
                    <c:v>2.5</c:v>
                  </c:pt>
                  <c:pt idx="3">
                    <c:v>3.1</c:v>
                  </c:pt>
                  <c:pt idx="4">
                    <c:v>3.3</c:v>
                  </c:pt>
                  <c:pt idx="5">
                    <c:v>3.9</c:v>
                  </c:pt>
                  <c:pt idx="6">
                    <c:v>4</c:v>
                  </c:pt>
                  <c:pt idx="7">
                    <c:v>4.5</c:v>
                  </c:pt>
                  <c:pt idx="8">
                    <c:v>5.2</c:v>
                  </c:pt>
                  <c:pt idx="9">
                    <c:v>5.4</c:v>
                  </c:pt>
                  <c:pt idx="10">
                    <c:v>5.7</c:v>
                  </c:pt>
                  <c:pt idx="11">
                    <c:v>6.1</c:v>
                  </c:pt>
                  <c:pt idx="12">
                    <c:v>6.9</c:v>
                  </c:pt>
                  <c:pt idx="13">
                    <c:v>7.3</c:v>
                  </c:pt>
                  <c:pt idx="14">
                    <c:v>7.7</c:v>
                  </c:pt>
                  <c:pt idx="15">
                    <c:v>8.2</c:v>
                  </c:pt>
                  <c:pt idx="16">
                    <c:v>8.5</c:v>
                  </c:pt>
                  <c:pt idx="17">
                    <c:v>9.5</c:v>
                  </c:pt>
                  <c:pt idx="18">
                    <c:v>9.7</c:v>
                  </c:pt>
                  <c:pt idx="19">
                    <c:v>9.9</c:v>
                  </c:pt>
                  <c:pt idx="20">
                    <c:v>10.2</c:v>
                  </c:pt>
                  <c:pt idx="21">
                    <c:v>11.1</c:v>
                  </c:pt>
                  <c:pt idx="22">
                    <c:v>11.4</c:v>
                  </c:pt>
                  <c:pt idx="23">
                    <c:v>12</c:v>
                  </c:pt>
                  <c:pt idx="24">
                    <c:v>12.7</c:v>
                  </c:pt>
                  <c:pt idx="25">
                    <c:v>13.1</c:v>
                  </c:pt>
                  <c:pt idx="26">
                    <c:v>14.2</c:v>
                  </c:pt>
                  <c:pt idx="27">
                    <c:v>14.6</c:v>
                  </c:pt>
                  <c:pt idx="28">
                    <c:v>14.8</c:v>
                  </c:pt>
                  <c:pt idx="29">
                    <c:v>15</c:v>
                  </c:pt>
                </c:lvl>
              </c:multiLvlStrCache>
            </c:multiLvlStrRef>
          </c:cat>
          <c:val>
            <c:numRef>
              <c:f>Analysis!$D$46:$D$106</c:f>
              <c:numCache>
                <c:formatCode>[&gt;=1000000]\$#0.0,,"M";[&gt;=1000]\$#0.0,"K";0</c:formatCode>
                <c:ptCount val="30"/>
                <c:pt idx="0">
                  <c:v>97023.2</c:v>
                </c:pt>
                <c:pt idx="1">
                  <c:v>60200.45</c:v>
                </c:pt>
                <c:pt idx="2">
                  <c:v>125700.85</c:v>
                </c:pt>
                <c:pt idx="3">
                  <c:v>58200.800000000003</c:v>
                </c:pt>
                <c:pt idx="4">
                  <c:v>104500.7</c:v>
                </c:pt>
                <c:pt idx="5">
                  <c:v>112300.65</c:v>
                </c:pt>
                <c:pt idx="6">
                  <c:v>71500.55</c:v>
                </c:pt>
                <c:pt idx="7">
                  <c:v>115450.5</c:v>
                </c:pt>
                <c:pt idx="8">
                  <c:v>69800.25</c:v>
                </c:pt>
                <c:pt idx="9">
                  <c:v>115800</c:v>
                </c:pt>
                <c:pt idx="10">
                  <c:v>68500.899999999994</c:v>
                </c:pt>
                <c:pt idx="11">
                  <c:v>76500.2</c:v>
                </c:pt>
                <c:pt idx="12">
                  <c:v>78200.350000000006</c:v>
                </c:pt>
                <c:pt idx="13">
                  <c:v>99800.75</c:v>
                </c:pt>
                <c:pt idx="14">
                  <c:v>93600.6</c:v>
                </c:pt>
                <c:pt idx="15">
                  <c:v>74500.350000000006</c:v>
                </c:pt>
                <c:pt idx="16">
                  <c:v>121300.1</c:v>
                </c:pt>
                <c:pt idx="17">
                  <c:v>85000.65</c:v>
                </c:pt>
                <c:pt idx="18">
                  <c:v>98400.75</c:v>
                </c:pt>
                <c:pt idx="19">
                  <c:v>81000.55</c:v>
                </c:pt>
                <c:pt idx="20">
                  <c:v>109500.25</c:v>
                </c:pt>
                <c:pt idx="21">
                  <c:v>128300.2</c:v>
                </c:pt>
                <c:pt idx="22">
                  <c:v>125500</c:v>
                </c:pt>
                <c:pt idx="23">
                  <c:v>134200</c:v>
                </c:pt>
                <c:pt idx="24">
                  <c:v>99500.75</c:v>
                </c:pt>
                <c:pt idx="25">
                  <c:v>78960.73</c:v>
                </c:pt>
                <c:pt idx="26">
                  <c:v>89400.8</c:v>
                </c:pt>
                <c:pt idx="27">
                  <c:v>134800.95000000001</c:v>
                </c:pt>
                <c:pt idx="28">
                  <c:v>105887.97</c:v>
                </c:pt>
                <c:pt idx="29">
                  <c:v>88000.4</c:v>
                </c:pt>
              </c:numCache>
            </c:numRef>
          </c:val>
          <c:extLst>
            <c:ext xmlns:c16="http://schemas.microsoft.com/office/drawing/2014/chart" uri="{C3380CC4-5D6E-409C-BE32-E72D297353CC}">
              <c16:uniqueId val="{00000000-28E8-4E8C-BFF5-1F3F6C5848CC}"/>
            </c:ext>
          </c:extLst>
        </c:ser>
        <c:dLbls>
          <c:showLegendKey val="0"/>
          <c:showVal val="0"/>
          <c:showCatName val="0"/>
          <c:showSerName val="0"/>
          <c:showPercent val="0"/>
          <c:showBubbleSize val="0"/>
        </c:dLbls>
        <c:gapWidth val="219"/>
        <c:overlap val="-27"/>
        <c:axId val="1260995135"/>
        <c:axId val="1260990335"/>
      </c:barChart>
      <c:catAx>
        <c:axId val="12609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0990335"/>
        <c:crosses val="autoZero"/>
        <c:auto val="1"/>
        <c:lblAlgn val="ctr"/>
        <c:lblOffset val="100"/>
        <c:noMultiLvlLbl val="0"/>
      </c:catAx>
      <c:valAx>
        <c:axId val="1260990335"/>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099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 Analysis.xlsx]Pivot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8B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0544383390925"/>
          <c:y val="5.0925925925925923E-2"/>
          <c:w val="0.7424815045601314"/>
          <c:h val="0.90308543797170593"/>
        </c:manualLayout>
      </c:layout>
      <c:barChart>
        <c:barDir val="bar"/>
        <c:grouping val="clustered"/>
        <c:varyColors val="0"/>
        <c:ser>
          <c:idx val="0"/>
          <c:order val="0"/>
          <c:tx>
            <c:strRef>
              <c:f>'Pivot Table'!$C$14</c:f>
              <c:strCache>
                <c:ptCount val="1"/>
                <c:pt idx="0">
                  <c:v>Total Salary</c:v>
                </c:pt>
              </c:strCache>
            </c:strRef>
          </c:tx>
          <c:spPr>
            <a:solidFill>
              <a:srgbClr val="3E54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Table'!$B$15:$B$21</c:f>
              <c:strCache>
                <c:ptCount val="6"/>
                <c:pt idx="0">
                  <c:v>Marketing</c:v>
                </c:pt>
                <c:pt idx="1">
                  <c:v>Finance</c:v>
                </c:pt>
                <c:pt idx="2">
                  <c:v>HR</c:v>
                </c:pt>
                <c:pt idx="3">
                  <c:v>IT</c:v>
                </c:pt>
                <c:pt idx="4">
                  <c:v>Operations</c:v>
                </c:pt>
                <c:pt idx="5">
                  <c:v>Sales</c:v>
                </c:pt>
              </c:strCache>
            </c:strRef>
          </c:cat>
          <c:val>
            <c:numRef>
              <c:f>'Pivot Table'!$C$15:$C$21</c:f>
              <c:numCache>
                <c:formatCode>[&gt;=1000000]\$#0.0,,\ "M";[&gt;=1000]\$#0.0,"K";0</c:formatCode>
                <c:ptCount val="6"/>
                <c:pt idx="0">
                  <c:v>391002.3</c:v>
                </c:pt>
                <c:pt idx="1">
                  <c:v>458763.23</c:v>
                </c:pt>
                <c:pt idx="2">
                  <c:v>320102.25</c:v>
                </c:pt>
                <c:pt idx="3">
                  <c:v>1019641.22</c:v>
                </c:pt>
                <c:pt idx="4">
                  <c:v>260300.95</c:v>
                </c:pt>
                <c:pt idx="5">
                  <c:v>451525.25</c:v>
                </c:pt>
              </c:numCache>
            </c:numRef>
          </c:val>
          <c:extLst>
            <c:ext xmlns:c16="http://schemas.microsoft.com/office/drawing/2014/chart" uri="{C3380CC4-5D6E-409C-BE32-E72D297353CC}">
              <c16:uniqueId val="{00000000-B764-4825-B5E1-4D84402B9AB0}"/>
            </c:ext>
          </c:extLst>
        </c:ser>
        <c:ser>
          <c:idx val="1"/>
          <c:order val="1"/>
          <c:tx>
            <c:strRef>
              <c:f>'Pivot Table'!$D$14</c:f>
              <c:strCache>
                <c:ptCount val="1"/>
                <c:pt idx="0">
                  <c:v>Average Salary</c:v>
                </c:pt>
              </c:strCache>
            </c:strRef>
          </c:tx>
          <c:spPr>
            <a:solidFill>
              <a:srgbClr val="A8B7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Table'!$B$15:$B$21</c:f>
              <c:strCache>
                <c:ptCount val="6"/>
                <c:pt idx="0">
                  <c:v>Marketing</c:v>
                </c:pt>
                <c:pt idx="1">
                  <c:v>Finance</c:v>
                </c:pt>
                <c:pt idx="2">
                  <c:v>HR</c:v>
                </c:pt>
                <c:pt idx="3">
                  <c:v>IT</c:v>
                </c:pt>
                <c:pt idx="4">
                  <c:v>Operations</c:v>
                </c:pt>
                <c:pt idx="5">
                  <c:v>Sales</c:v>
                </c:pt>
              </c:strCache>
            </c:strRef>
          </c:cat>
          <c:val>
            <c:numRef>
              <c:f>'Pivot Table'!$D$15:$D$21</c:f>
              <c:numCache>
                <c:formatCode>[&gt;=1000000]\$#0.0,,\ "M";[&gt;=1000]\$#0.0,"K";0</c:formatCode>
                <c:ptCount val="6"/>
                <c:pt idx="0">
                  <c:v>78200.459999999992</c:v>
                </c:pt>
                <c:pt idx="1">
                  <c:v>91752.645999999993</c:v>
                </c:pt>
                <c:pt idx="2">
                  <c:v>80025.5625</c:v>
                </c:pt>
                <c:pt idx="3">
                  <c:v>113293.46888888889</c:v>
                </c:pt>
                <c:pt idx="4">
                  <c:v>130150.47500000001</c:v>
                </c:pt>
                <c:pt idx="5">
                  <c:v>90305.05</c:v>
                </c:pt>
              </c:numCache>
            </c:numRef>
          </c:val>
          <c:extLst>
            <c:ext xmlns:c16="http://schemas.microsoft.com/office/drawing/2014/chart" uri="{C3380CC4-5D6E-409C-BE32-E72D297353CC}">
              <c16:uniqueId val="{00000001-B764-4825-B5E1-4D84402B9AB0}"/>
            </c:ext>
          </c:extLst>
        </c:ser>
        <c:dLbls>
          <c:dLblPos val="outEnd"/>
          <c:showLegendKey val="0"/>
          <c:showVal val="1"/>
          <c:showCatName val="0"/>
          <c:showSerName val="0"/>
          <c:showPercent val="0"/>
          <c:showBubbleSize val="0"/>
        </c:dLbls>
        <c:gapWidth val="182"/>
        <c:axId val="1138006623"/>
        <c:axId val="1137995583"/>
      </c:barChart>
      <c:catAx>
        <c:axId val="113800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NG"/>
          </a:p>
        </c:txPr>
        <c:crossAx val="1137995583"/>
        <c:crosses val="autoZero"/>
        <c:auto val="1"/>
        <c:lblAlgn val="ctr"/>
        <c:lblOffset val="100"/>
        <c:noMultiLvlLbl val="0"/>
      </c:catAx>
      <c:valAx>
        <c:axId val="1137995583"/>
        <c:scaling>
          <c:orientation val="minMax"/>
        </c:scaling>
        <c:delete val="1"/>
        <c:axPos val="b"/>
        <c:numFmt formatCode="[&gt;=1000000]\$#0.0,,\ &quot;M&quot;;[&gt;=1000]\$#0.0,&quot;K&quot;;0" sourceLinked="1"/>
        <c:majorTickMark val="none"/>
        <c:minorTickMark val="none"/>
        <c:tickLblPos val="nextTo"/>
        <c:crossAx val="1138006623"/>
        <c:crosses val="autoZero"/>
        <c:crossBetween val="between"/>
      </c:valAx>
      <c:spPr>
        <a:noFill/>
        <a:ln>
          <a:noFill/>
        </a:ln>
        <a:effectLst/>
      </c:spPr>
    </c:plotArea>
    <c:legend>
      <c:legendPos val="r"/>
      <c:layout>
        <c:manualLayout>
          <c:xMode val="edge"/>
          <c:yMode val="edge"/>
          <c:x val="0.86333272662525229"/>
          <c:y val="0.33553211427084012"/>
          <c:w val="0.13264717287223518"/>
          <c:h val="0.25124982104509669"/>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 Analysis.xlsx]Pivot Table!PivotTable3</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E54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66666666666668E-2"/>
          <c:y val="4.887437218495836E-2"/>
          <c:w val="0.93916700412448439"/>
          <c:h val="0.80338378229037166"/>
        </c:manualLayout>
      </c:layout>
      <c:lineChart>
        <c:grouping val="standard"/>
        <c:varyColors val="0"/>
        <c:ser>
          <c:idx val="0"/>
          <c:order val="0"/>
          <c:tx>
            <c:strRef>
              <c:f>'Pivot Table'!$J$6</c:f>
              <c:strCache>
                <c:ptCount val="1"/>
                <c:pt idx="0">
                  <c:v>Total</c:v>
                </c:pt>
              </c:strCache>
            </c:strRef>
          </c:tx>
          <c:spPr>
            <a:ln w="28575" cap="rnd">
              <a:solidFill>
                <a:srgbClr val="3E545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Table'!$I$7:$I$18</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'Pivot Table'!$J$7:$J$18</c:f>
              <c:numCache>
                <c:formatCode>General</c:formatCode>
                <c:ptCount val="11"/>
                <c:pt idx="0">
                  <c:v>2</c:v>
                </c:pt>
                <c:pt idx="1">
                  <c:v>3</c:v>
                </c:pt>
                <c:pt idx="2">
                  <c:v>3</c:v>
                </c:pt>
                <c:pt idx="3">
                  <c:v>3</c:v>
                </c:pt>
                <c:pt idx="4">
                  <c:v>4</c:v>
                </c:pt>
                <c:pt idx="5">
                  <c:v>3</c:v>
                </c:pt>
                <c:pt idx="6">
                  <c:v>4</c:v>
                </c:pt>
                <c:pt idx="7">
                  <c:v>4</c:v>
                </c:pt>
                <c:pt idx="8">
                  <c:v>2</c:v>
                </c:pt>
                <c:pt idx="9">
                  <c:v>1</c:v>
                </c:pt>
                <c:pt idx="10">
                  <c:v>1</c:v>
                </c:pt>
              </c:numCache>
            </c:numRef>
          </c:val>
          <c:smooth val="1"/>
          <c:extLst>
            <c:ext xmlns:c16="http://schemas.microsoft.com/office/drawing/2014/chart" uri="{C3380CC4-5D6E-409C-BE32-E72D297353CC}">
              <c16:uniqueId val="{00000000-0052-4C4A-BF73-39D01BF0B3AB}"/>
            </c:ext>
          </c:extLst>
        </c:ser>
        <c:dLbls>
          <c:dLblPos val="t"/>
          <c:showLegendKey val="0"/>
          <c:showVal val="1"/>
          <c:showCatName val="0"/>
          <c:showSerName val="0"/>
          <c:showPercent val="0"/>
          <c:showBubbleSize val="0"/>
        </c:dLbls>
        <c:smooth val="0"/>
        <c:axId val="1137985023"/>
        <c:axId val="1137961023"/>
      </c:lineChart>
      <c:catAx>
        <c:axId val="1137985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NG"/>
          </a:p>
        </c:txPr>
        <c:crossAx val="1137961023"/>
        <c:crosses val="autoZero"/>
        <c:auto val="1"/>
        <c:lblAlgn val="ctr"/>
        <c:lblOffset val="100"/>
        <c:noMultiLvlLbl val="0"/>
      </c:catAx>
      <c:valAx>
        <c:axId val="1137961023"/>
        <c:scaling>
          <c:orientation val="minMax"/>
        </c:scaling>
        <c:delete val="1"/>
        <c:axPos val="l"/>
        <c:numFmt formatCode="General" sourceLinked="1"/>
        <c:majorTickMark val="none"/>
        <c:minorTickMark val="none"/>
        <c:tickLblPos val="nextTo"/>
        <c:crossAx val="11379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 Analysis.xlsx]Pivot Table!PivotTable5</c:name>
    <c:fmtId val="15"/>
  </c:pivotSource>
  <c:chart>
    <c:autoTitleDeleted val="0"/>
    <c:pivotFmts>
      <c:pivotFmt>
        <c:idx val="0"/>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8B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B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8B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4038780866677"/>
          <c:y val="1.9469026548672566E-2"/>
          <c:w val="0.76110520113557245"/>
          <c:h val="0.9610619469026549"/>
        </c:manualLayout>
      </c:layout>
      <c:barChart>
        <c:barDir val="bar"/>
        <c:grouping val="clustered"/>
        <c:varyColors val="0"/>
        <c:ser>
          <c:idx val="0"/>
          <c:order val="0"/>
          <c:tx>
            <c:strRef>
              <c:f>'Pivot Table'!$C$27</c:f>
              <c:strCache>
                <c:ptCount val="1"/>
                <c:pt idx="0">
                  <c:v>No.of Employee</c:v>
                </c:pt>
              </c:strCache>
            </c:strRef>
          </c:tx>
          <c:spPr>
            <a:solidFill>
              <a:srgbClr val="3E54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Table'!$B$28:$B$34</c:f>
              <c:strCache>
                <c:ptCount val="6"/>
                <c:pt idx="0">
                  <c:v>Operations</c:v>
                </c:pt>
                <c:pt idx="1">
                  <c:v>HR</c:v>
                </c:pt>
                <c:pt idx="2">
                  <c:v>Finance</c:v>
                </c:pt>
                <c:pt idx="3">
                  <c:v>Marketing</c:v>
                </c:pt>
                <c:pt idx="4">
                  <c:v>Sales</c:v>
                </c:pt>
                <c:pt idx="5">
                  <c:v>IT</c:v>
                </c:pt>
              </c:strCache>
            </c:strRef>
          </c:cat>
          <c:val>
            <c:numRef>
              <c:f>'Pivot Table'!$C$28:$C$34</c:f>
              <c:numCache>
                <c:formatCode>General</c:formatCode>
                <c:ptCount val="6"/>
                <c:pt idx="0">
                  <c:v>2</c:v>
                </c:pt>
                <c:pt idx="1">
                  <c:v>4</c:v>
                </c:pt>
                <c:pt idx="2">
                  <c:v>5</c:v>
                </c:pt>
                <c:pt idx="3">
                  <c:v>5</c:v>
                </c:pt>
                <c:pt idx="4">
                  <c:v>5</c:v>
                </c:pt>
                <c:pt idx="5">
                  <c:v>9</c:v>
                </c:pt>
              </c:numCache>
            </c:numRef>
          </c:val>
          <c:extLst>
            <c:ext xmlns:c16="http://schemas.microsoft.com/office/drawing/2014/chart" uri="{C3380CC4-5D6E-409C-BE32-E72D297353CC}">
              <c16:uniqueId val="{00000002-ADFB-4A13-AA28-A92731F34888}"/>
            </c:ext>
          </c:extLst>
        </c:ser>
        <c:ser>
          <c:idx val="1"/>
          <c:order val="1"/>
          <c:tx>
            <c:strRef>
              <c:f>'Pivot Table'!$D$27</c:f>
              <c:strCache>
                <c:ptCount val="1"/>
                <c:pt idx="0">
                  <c:v>Avg Years of Exp.</c:v>
                </c:pt>
              </c:strCache>
            </c:strRef>
          </c:tx>
          <c:spPr>
            <a:solidFill>
              <a:srgbClr val="A8B7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Table'!$B$28:$B$34</c:f>
              <c:strCache>
                <c:ptCount val="6"/>
                <c:pt idx="0">
                  <c:v>Operations</c:v>
                </c:pt>
                <c:pt idx="1">
                  <c:v>HR</c:v>
                </c:pt>
                <c:pt idx="2">
                  <c:v>Finance</c:v>
                </c:pt>
                <c:pt idx="3">
                  <c:v>Marketing</c:v>
                </c:pt>
                <c:pt idx="4">
                  <c:v>Sales</c:v>
                </c:pt>
                <c:pt idx="5">
                  <c:v>IT</c:v>
                </c:pt>
              </c:strCache>
            </c:strRef>
          </c:cat>
          <c:val>
            <c:numRef>
              <c:f>'Pivot Table'!$D$28:$D$34</c:f>
              <c:numCache>
                <c:formatCode>0.0</c:formatCode>
                <c:ptCount val="6"/>
                <c:pt idx="0">
                  <c:v>13</c:v>
                </c:pt>
                <c:pt idx="1">
                  <c:v>8.75</c:v>
                </c:pt>
                <c:pt idx="2">
                  <c:v>10.559999999999999</c:v>
                </c:pt>
                <c:pt idx="3">
                  <c:v>7.12</c:v>
                </c:pt>
                <c:pt idx="4">
                  <c:v>5.34</c:v>
                </c:pt>
                <c:pt idx="5">
                  <c:v>7.5333333333333332</c:v>
                </c:pt>
              </c:numCache>
            </c:numRef>
          </c:val>
          <c:extLst>
            <c:ext xmlns:c16="http://schemas.microsoft.com/office/drawing/2014/chart" uri="{C3380CC4-5D6E-409C-BE32-E72D297353CC}">
              <c16:uniqueId val="{00000003-ADFB-4A13-AA28-A92731F34888}"/>
            </c:ext>
          </c:extLst>
        </c:ser>
        <c:dLbls>
          <c:dLblPos val="outEnd"/>
          <c:showLegendKey val="0"/>
          <c:showVal val="1"/>
          <c:showCatName val="0"/>
          <c:showSerName val="0"/>
          <c:showPercent val="0"/>
          <c:showBubbleSize val="0"/>
        </c:dLbls>
        <c:gapWidth val="182"/>
        <c:axId val="1138013343"/>
        <c:axId val="1138023903"/>
      </c:barChart>
      <c:catAx>
        <c:axId val="11380133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NG"/>
          </a:p>
        </c:txPr>
        <c:crossAx val="1138023903"/>
        <c:crosses val="autoZero"/>
        <c:auto val="1"/>
        <c:lblAlgn val="ctr"/>
        <c:lblOffset val="100"/>
        <c:noMultiLvlLbl val="0"/>
      </c:catAx>
      <c:valAx>
        <c:axId val="1138023903"/>
        <c:scaling>
          <c:orientation val="minMax"/>
        </c:scaling>
        <c:delete val="1"/>
        <c:axPos val="b"/>
        <c:numFmt formatCode="General" sourceLinked="1"/>
        <c:majorTickMark val="none"/>
        <c:minorTickMark val="none"/>
        <c:tickLblPos val="nextTo"/>
        <c:crossAx val="1138013343"/>
        <c:crosses val="autoZero"/>
        <c:crossBetween val="between"/>
      </c:valAx>
      <c:spPr>
        <a:noFill/>
        <a:ln>
          <a:noFill/>
        </a:ln>
        <a:effectLst/>
      </c:spPr>
    </c:plotArea>
    <c:legend>
      <c:legendPos val="r"/>
      <c:layout>
        <c:manualLayout>
          <c:xMode val="edge"/>
          <c:yMode val="edge"/>
          <c:x val="0.8607476029781993"/>
          <c:y val="0.43804947390425752"/>
          <c:w val="0.13517076436873959"/>
          <c:h val="0.16283910528883005"/>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 Analysis.xlsx]Pivot Table!PivotTable6</c:name>
    <c:fmtId val="9"/>
  </c:pivotSource>
  <c:chart>
    <c:autoTitleDeleted val="1"/>
    <c:pivotFmts>
      <c:pivotFmt>
        <c:idx val="0"/>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E54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Table'!$J$23</c:f>
              <c:strCache>
                <c:ptCount val="1"/>
                <c:pt idx="0">
                  <c:v>Total</c:v>
                </c:pt>
              </c:strCache>
            </c:strRef>
          </c:tx>
          <c:spPr>
            <a:solidFill>
              <a:srgbClr val="3E54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Table'!$I$24:$I$30</c:f>
              <c:strCache>
                <c:ptCount val="6"/>
                <c:pt idx="0">
                  <c:v>USA</c:v>
                </c:pt>
                <c:pt idx="1">
                  <c:v>Canada</c:v>
                </c:pt>
                <c:pt idx="2">
                  <c:v>India</c:v>
                </c:pt>
                <c:pt idx="3">
                  <c:v>UK</c:v>
                </c:pt>
                <c:pt idx="4">
                  <c:v>France</c:v>
                </c:pt>
                <c:pt idx="5">
                  <c:v>Germany</c:v>
                </c:pt>
              </c:strCache>
            </c:strRef>
          </c:cat>
          <c:val>
            <c:numRef>
              <c:f>'Pivot Table'!$J$24:$J$30</c:f>
              <c:numCache>
                <c:formatCode>[&gt;=1000000]\$#0.0,,\ "M";[&gt;=1000]\$#0.0,"K";0</c:formatCode>
                <c:ptCount val="6"/>
                <c:pt idx="0">
                  <c:v>693703.3</c:v>
                </c:pt>
                <c:pt idx="1">
                  <c:v>626086.98</c:v>
                </c:pt>
                <c:pt idx="2">
                  <c:v>571852.05000000005</c:v>
                </c:pt>
                <c:pt idx="3">
                  <c:v>477590.47</c:v>
                </c:pt>
                <c:pt idx="4">
                  <c:v>350001.5</c:v>
                </c:pt>
                <c:pt idx="5">
                  <c:v>182100.9</c:v>
                </c:pt>
              </c:numCache>
            </c:numRef>
          </c:val>
          <c:extLst>
            <c:ext xmlns:c16="http://schemas.microsoft.com/office/drawing/2014/chart" uri="{C3380CC4-5D6E-409C-BE32-E72D297353CC}">
              <c16:uniqueId val="{00000000-2FBD-4242-9EBA-F782290AE93D}"/>
            </c:ext>
          </c:extLst>
        </c:ser>
        <c:dLbls>
          <c:dLblPos val="outEnd"/>
          <c:showLegendKey val="0"/>
          <c:showVal val="1"/>
          <c:showCatName val="0"/>
          <c:showSerName val="0"/>
          <c:showPercent val="0"/>
          <c:showBubbleSize val="0"/>
        </c:dLbls>
        <c:gapWidth val="219"/>
        <c:overlap val="-27"/>
        <c:axId val="1138012863"/>
        <c:axId val="1137988863"/>
      </c:barChart>
      <c:catAx>
        <c:axId val="1138012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NG"/>
          </a:p>
        </c:txPr>
        <c:crossAx val="1137988863"/>
        <c:crosses val="autoZero"/>
        <c:auto val="1"/>
        <c:lblAlgn val="ctr"/>
        <c:lblOffset val="100"/>
        <c:noMultiLvlLbl val="0"/>
      </c:catAx>
      <c:valAx>
        <c:axId val="1137988863"/>
        <c:scaling>
          <c:orientation val="minMax"/>
        </c:scaling>
        <c:delete val="1"/>
        <c:axPos val="l"/>
        <c:numFmt formatCode="[&gt;=1000000]\$#0.0,,\ &quot;M&quot;;[&gt;=1000]\$#0.0,&quot;K&quot;;0" sourceLinked="1"/>
        <c:majorTickMark val="none"/>
        <c:minorTickMark val="none"/>
        <c:tickLblPos val="nextTo"/>
        <c:crossAx val="113801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image" Target="../media/image8.svg"/><Relationship Id="rId18" Type="http://schemas.openxmlformats.org/officeDocument/2006/relationships/chart" Target="../charts/chart2.xml"/><Relationship Id="rId3" Type="http://schemas.openxmlformats.org/officeDocument/2006/relationships/hyperlink" Target="https://www.linkedin.com/in/odey-divine/" TargetMode="External"/><Relationship Id="rId21" Type="http://schemas.openxmlformats.org/officeDocument/2006/relationships/chart" Target="../charts/chart5.xml"/><Relationship Id="rId7" Type="http://schemas.openxmlformats.org/officeDocument/2006/relationships/hyperlink" Target="#'Pivot Table'!A1"/><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6.svg"/><Relationship Id="rId5" Type="http://schemas.openxmlformats.org/officeDocument/2006/relationships/hyperlink" Target="https://odey-divine-portfolio.vercel.app/" TargetMode="Externa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hyperlink" Target="#'Raw DataSet'!A1"/><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309562</xdr:colOff>
      <xdr:row>47</xdr:row>
      <xdr:rowOff>157161</xdr:rowOff>
    </xdr:from>
    <xdr:to>
      <xdr:col>13</xdr:col>
      <xdr:colOff>457200</xdr:colOff>
      <xdr:row>70</xdr:row>
      <xdr:rowOff>76199</xdr:rowOff>
    </xdr:to>
    <xdr:graphicFrame macro="">
      <xdr:nvGraphicFramePr>
        <xdr:cNvPr id="2" name="Chart 1">
          <a:extLst>
            <a:ext uri="{FF2B5EF4-FFF2-40B4-BE49-F238E27FC236}">
              <a16:creationId xmlns:a16="http://schemas.microsoft.com/office/drawing/2014/main" id="{60213EB7-B069-7A3D-5EE0-8AD46D941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425444</xdr:colOff>
      <xdr:row>1</xdr:row>
      <xdr:rowOff>91736</xdr:rowOff>
    </xdr:from>
    <xdr:to>
      <xdr:col>113</xdr:col>
      <xdr:colOff>508000</xdr:colOff>
      <xdr:row>153</xdr:row>
      <xdr:rowOff>127000</xdr:rowOff>
    </xdr:to>
    <xdr:grpSp>
      <xdr:nvGrpSpPr>
        <xdr:cNvPr id="46" name="Group 45">
          <a:extLst>
            <a:ext uri="{FF2B5EF4-FFF2-40B4-BE49-F238E27FC236}">
              <a16:creationId xmlns:a16="http://schemas.microsoft.com/office/drawing/2014/main" id="{DA5BDE96-0E47-4F44-08B2-07DF719E16F3}"/>
            </a:ext>
          </a:extLst>
        </xdr:cNvPr>
        <xdr:cNvGrpSpPr/>
      </xdr:nvGrpSpPr>
      <xdr:grpSpPr>
        <a:xfrm>
          <a:off x="8521694" y="250486"/>
          <a:ext cx="52978056" cy="24165264"/>
          <a:chOff x="2743194" y="663236"/>
          <a:chExt cx="52978056" cy="24165264"/>
        </a:xfrm>
      </xdr:grpSpPr>
      <xdr:grpSp>
        <xdr:nvGrpSpPr>
          <xdr:cNvPr id="38" name="Group 37">
            <a:extLst>
              <a:ext uri="{FF2B5EF4-FFF2-40B4-BE49-F238E27FC236}">
                <a16:creationId xmlns:a16="http://schemas.microsoft.com/office/drawing/2014/main" id="{988091B2-BBBE-0A64-4DD3-8238C905A904}"/>
              </a:ext>
            </a:extLst>
          </xdr:cNvPr>
          <xdr:cNvGrpSpPr/>
        </xdr:nvGrpSpPr>
        <xdr:grpSpPr>
          <a:xfrm>
            <a:off x="2743194" y="663236"/>
            <a:ext cx="48215556" cy="24126252"/>
            <a:chOff x="2203444" y="694986"/>
            <a:chExt cx="48215556" cy="24126252"/>
          </a:xfrm>
        </xdr:grpSpPr>
        <xdr:sp macro="" textlink="">
          <xdr:nvSpPr>
            <xdr:cNvPr id="20" name="Freeform: Shape 19">
              <a:extLst>
                <a:ext uri="{FF2B5EF4-FFF2-40B4-BE49-F238E27FC236}">
                  <a16:creationId xmlns:a16="http://schemas.microsoft.com/office/drawing/2014/main" id="{C237CCFD-C4BA-A1C8-CB79-66D31B867AAD}"/>
                </a:ext>
              </a:extLst>
            </xdr:cNvPr>
            <xdr:cNvSpPr/>
          </xdr:nvSpPr>
          <xdr:spPr>
            <a:xfrm>
              <a:off x="5251751" y="694986"/>
              <a:ext cx="6524372" cy="6518185"/>
            </a:xfrm>
            <a:custGeom>
              <a:avLst/>
              <a:gdLst>
                <a:gd name="connsiteX0" fmla="*/ 0 w 6524372"/>
                <a:gd name="connsiteY0" fmla="*/ 0 h 6518185"/>
                <a:gd name="connsiteX1" fmla="*/ 6524373 w 6524372"/>
                <a:gd name="connsiteY1" fmla="*/ 0 h 6518185"/>
                <a:gd name="connsiteX2" fmla="*/ 6524373 w 6524372"/>
                <a:gd name="connsiteY2" fmla="*/ 6518186 h 6518185"/>
                <a:gd name="connsiteX3" fmla="*/ 0 w 6524372"/>
                <a:gd name="connsiteY3" fmla="*/ 6518186 h 6518185"/>
              </a:gdLst>
              <a:ahLst/>
              <a:cxnLst>
                <a:cxn ang="0">
                  <a:pos x="connsiteX0" y="connsiteY0"/>
                </a:cxn>
                <a:cxn ang="0">
                  <a:pos x="connsiteX1" y="connsiteY1"/>
                </a:cxn>
                <a:cxn ang="0">
                  <a:pos x="connsiteX2" y="connsiteY2"/>
                </a:cxn>
                <a:cxn ang="0">
                  <a:pos x="connsiteX3" y="connsiteY3"/>
                </a:cxn>
              </a:cxnLst>
              <a:rect l="l" t="t" r="r" b="b"/>
              <a:pathLst>
                <a:path w="6524372" h="6518185">
                  <a:moveTo>
                    <a:pt x="0" y="0"/>
                  </a:moveTo>
                  <a:lnTo>
                    <a:pt x="6524373" y="0"/>
                  </a:lnTo>
                  <a:lnTo>
                    <a:pt x="6524373" y="6518186"/>
                  </a:lnTo>
                  <a:lnTo>
                    <a:pt x="0" y="6518186"/>
                  </a:lnTo>
                  <a:close/>
                </a:path>
              </a:pathLst>
            </a:custGeom>
            <a:noFill/>
            <a:ln w="16348" cap="flat">
              <a:noFill/>
              <a:prstDash val="solid"/>
              <a:miter/>
            </a:ln>
          </xdr:spPr>
          <xdr:txBody>
            <a:bodyPr rtlCol="0" anchor="ctr"/>
            <a:lstStyle/>
            <a:p>
              <a:endParaRPr lang="en-NG"/>
            </a:p>
          </xdr:txBody>
        </xdr:sp>
        <xdr:pic>
          <xdr:nvPicPr>
            <xdr:cNvPr id="22" name="Graphic 21">
              <a:extLst>
                <a:ext uri="{FF2B5EF4-FFF2-40B4-BE49-F238E27FC236}">
                  <a16:creationId xmlns:a16="http://schemas.microsoft.com/office/drawing/2014/main" id="{E923E9FD-051D-25DC-A659-DBB882F861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3444" y="857249"/>
              <a:ext cx="48215556" cy="23963989"/>
            </a:xfrm>
            <a:prstGeom prst="rect">
              <a:avLst/>
            </a:prstGeom>
          </xdr:spPr>
        </xdr:pic>
        <xdr:pic>
          <xdr:nvPicPr>
            <xdr:cNvPr id="24" name="Picture 23">
              <a:hlinkClick xmlns:r="http://schemas.openxmlformats.org/officeDocument/2006/relationships" r:id="rId3"/>
              <a:extLst>
                <a:ext uri="{FF2B5EF4-FFF2-40B4-BE49-F238E27FC236}">
                  <a16:creationId xmlns:a16="http://schemas.microsoft.com/office/drawing/2014/main" id="{2E56C30C-D889-589D-C34A-C3CFC79198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080000" y="17399000"/>
              <a:ext cx="2665498" cy="2254250"/>
            </a:xfrm>
            <a:prstGeom prst="rect">
              <a:avLst/>
            </a:prstGeom>
          </xdr:spPr>
        </xdr:pic>
        <xdr:pic>
          <xdr:nvPicPr>
            <xdr:cNvPr id="26" name="Picture 25">
              <a:hlinkClick xmlns:r="http://schemas.openxmlformats.org/officeDocument/2006/relationships" r:id="rId5"/>
              <a:extLst>
                <a:ext uri="{FF2B5EF4-FFF2-40B4-BE49-F238E27FC236}">
                  <a16:creationId xmlns:a16="http://schemas.microsoft.com/office/drawing/2014/main" id="{E7E68DA1-845D-5B38-C1DD-033FBE765C5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76000" y="21041500"/>
              <a:ext cx="2898000" cy="2898000"/>
            </a:xfrm>
            <a:prstGeom prst="ellipse">
              <a:avLst/>
            </a:prstGeom>
            <a:ln w="190500" cap="rnd">
              <a:no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xdr:spPr>
        </xdr:pic>
        <xdr:sp macro="" textlink="">
          <xdr:nvSpPr>
            <xdr:cNvPr id="27" name="TextBox 26">
              <a:hlinkClick xmlns:r="http://schemas.openxmlformats.org/officeDocument/2006/relationships" r:id="rId7"/>
              <a:extLst>
                <a:ext uri="{FF2B5EF4-FFF2-40B4-BE49-F238E27FC236}">
                  <a16:creationId xmlns:a16="http://schemas.microsoft.com/office/drawing/2014/main" id="{85C3D56F-9E02-515F-5D3C-E8F814225F2B}"/>
                </a:ext>
              </a:extLst>
            </xdr:cNvPr>
            <xdr:cNvSpPr txBox="1"/>
          </xdr:nvSpPr>
          <xdr:spPr>
            <a:xfrm>
              <a:off x="4943475" y="8985250"/>
              <a:ext cx="30797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A8B7B4"/>
                  </a:solidFill>
                </a:rPr>
                <a:t>Pivot</a:t>
              </a:r>
              <a:r>
                <a:rPr lang="en-US" sz="4400" baseline="0">
                  <a:solidFill>
                    <a:srgbClr val="A8B7B4"/>
                  </a:solidFill>
                </a:rPr>
                <a:t> Tables</a:t>
              </a:r>
              <a:endParaRPr lang="en-NG" sz="4400">
                <a:solidFill>
                  <a:srgbClr val="A8B7B4"/>
                </a:solidFill>
              </a:endParaRPr>
            </a:p>
          </xdr:txBody>
        </xdr:sp>
        <xdr:sp macro="" textlink="">
          <xdr:nvSpPr>
            <xdr:cNvPr id="28" name="TextBox 27">
              <a:hlinkClick xmlns:r="http://schemas.openxmlformats.org/officeDocument/2006/relationships" r:id="rId8"/>
              <a:extLst>
                <a:ext uri="{FF2B5EF4-FFF2-40B4-BE49-F238E27FC236}">
                  <a16:creationId xmlns:a16="http://schemas.microsoft.com/office/drawing/2014/main" id="{DE71AE51-5512-46E7-A767-111C79F50929}"/>
                </a:ext>
              </a:extLst>
            </xdr:cNvPr>
            <xdr:cNvSpPr txBox="1"/>
          </xdr:nvSpPr>
          <xdr:spPr>
            <a:xfrm>
              <a:off x="4943475" y="10090150"/>
              <a:ext cx="30797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A8B7B4"/>
                  </a:solidFill>
                </a:rPr>
                <a:t>Analysis</a:t>
              </a:r>
              <a:endParaRPr lang="en-NG" sz="4400">
                <a:solidFill>
                  <a:srgbClr val="A8B7B4"/>
                </a:solidFill>
              </a:endParaRPr>
            </a:p>
          </xdr:txBody>
        </xdr:sp>
        <xdr:sp macro="" textlink="">
          <xdr:nvSpPr>
            <xdr:cNvPr id="29" name="TextBox 28">
              <a:hlinkClick xmlns:r="http://schemas.openxmlformats.org/officeDocument/2006/relationships" r:id="rId9"/>
              <a:extLst>
                <a:ext uri="{FF2B5EF4-FFF2-40B4-BE49-F238E27FC236}">
                  <a16:creationId xmlns:a16="http://schemas.microsoft.com/office/drawing/2014/main" id="{71721CB3-82FD-4E45-9D09-A6751F7DEF85}"/>
                </a:ext>
              </a:extLst>
            </xdr:cNvPr>
            <xdr:cNvSpPr txBox="1"/>
          </xdr:nvSpPr>
          <xdr:spPr>
            <a:xfrm>
              <a:off x="4943475" y="11322050"/>
              <a:ext cx="30797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A8B7B4"/>
                  </a:solidFill>
                </a:rPr>
                <a:t>Data-Set</a:t>
              </a:r>
              <a:endParaRPr lang="en-NG" sz="4400">
                <a:solidFill>
                  <a:srgbClr val="A8B7B4"/>
                </a:solidFill>
              </a:endParaRPr>
            </a:p>
          </xdr:txBody>
        </xdr:sp>
        <xdr:sp macro="" textlink="">
          <xdr:nvSpPr>
            <xdr:cNvPr id="30" name="TextBox 29">
              <a:extLst>
                <a:ext uri="{FF2B5EF4-FFF2-40B4-BE49-F238E27FC236}">
                  <a16:creationId xmlns:a16="http://schemas.microsoft.com/office/drawing/2014/main" id="{D3F8478A-1F69-4FCE-AD9A-12E666F641E2}"/>
                </a:ext>
              </a:extLst>
            </xdr:cNvPr>
            <xdr:cNvSpPr txBox="1"/>
          </xdr:nvSpPr>
          <xdr:spPr>
            <a:xfrm>
              <a:off x="4943475" y="12585700"/>
              <a:ext cx="307975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A8B7B4"/>
                  </a:solidFill>
                </a:rPr>
                <a:t>Insights</a:t>
              </a:r>
              <a:endParaRPr lang="en-NG" sz="4400">
                <a:solidFill>
                  <a:srgbClr val="A8B7B4"/>
                </a:solidFill>
              </a:endParaRPr>
            </a:p>
          </xdr:txBody>
        </xdr:sp>
        <xdr:sp macro="" textlink="'Pivot Table'!D7">
          <xdr:nvSpPr>
            <xdr:cNvPr id="2" name="TextBox 1">
              <a:extLst>
                <a:ext uri="{FF2B5EF4-FFF2-40B4-BE49-F238E27FC236}">
                  <a16:creationId xmlns:a16="http://schemas.microsoft.com/office/drawing/2014/main" id="{31C36540-C833-A4C3-411E-727B85DF47F1}"/>
                </a:ext>
              </a:extLst>
            </xdr:cNvPr>
            <xdr:cNvSpPr txBox="1"/>
          </xdr:nvSpPr>
          <xdr:spPr>
            <a:xfrm>
              <a:off x="10699750" y="3594100"/>
              <a:ext cx="45085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ABF3B5-F6A9-404E-8205-08495ECDCD39}" type="TxLink">
                <a:rPr lang="en-US" sz="4000" b="0" i="0" u="none" strike="noStrike">
                  <a:solidFill>
                    <a:srgbClr val="3E5451"/>
                  </a:solidFill>
                  <a:latin typeface="Times New Roman"/>
                  <a:cs typeface="Times New Roman"/>
                </a:rPr>
                <a:t>Total Employees</a:t>
              </a:fld>
              <a:endParaRPr lang="en-NG" sz="4800">
                <a:solidFill>
                  <a:srgbClr val="3E5451"/>
                </a:solidFill>
              </a:endParaRPr>
            </a:p>
          </xdr:txBody>
        </xdr:sp>
        <xdr:sp macro="" textlink="'Pivot Table'!D8">
          <xdr:nvSpPr>
            <xdr:cNvPr id="3" name="TextBox 2">
              <a:extLst>
                <a:ext uri="{FF2B5EF4-FFF2-40B4-BE49-F238E27FC236}">
                  <a16:creationId xmlns:a16="http://schemas.microsoft.com/office/drawing/2014/main" id="{4CF535CB-162D-4B60-A2C6-9B9E3867734F}"/>
                </a:ext>
              </a:extLst>
            </xdr:cNvPr>
            <xdr:cNvSpPr txBox="1"/>
          </xdr:nvSpPr>
          <xdr:spPr>
            <a:xfrm>
              <a:off x="20821650" y="3559175"/>
              <a:ext cx="54991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D128FE-A7C9-4B1B-BA7B-B75FAE8DEC95}" type="TxLink">
                <a:rPr lang="en-US" sz="4000" b="0" i="0" u="none" strike="noStrike">
                  <a:solidFill>
                    <a:srgbClr val="3E5451"/>
                  </a:solidFill>
                  <a:latin typeface="Times New Roman"/>
                  <a:cs typeface="Times New Roman"/>
                </a:rPr>
                <a:t>Average Salary Earned</a:t>
              </a:fld>
              <a:endParaRPr lang="en-NG" sz="4000">
                <a:solidFill>
                  <a:srgbClr val="3E5451"/>
                </a:solidFill>
              </a:endParaRPr>
            </a:p>
          </xdr:txBody>
        </xdr:sp>
        <xdr:sp macro="" textlink="'Pivot Table'!D9">
          <xdr:nvSpPr>
            <xdr:cNvPr id="4" name="TextBox 3">
              <a:extLst>
                <a:ext uri="{FF2B5EF4-FFF2-40B4-BE49-F238E27FC236}">
                  <a16:creationId xmlns:a16="http://schemas.microsoft.com/office/drawing/2014/main" id="{75738970-279E-4C4C-AC84-6B00D3ACF9D2}"/>
                </a:ext>
              </a:extLst>
            </xdr:cNvPr>
            <xdr:cNvSpPr txBox="1"/>
          </xdr:nvSpPr>
          <xdr:spPr>
            <a:xfrm>
              <a:off x="30848300" y="3559175"/>
              <a:ext cx="54991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437A37-556F-41CB-A878-C7015E9B86B5}" type="TxLink">
                <a:rPr lang="en-US" sz="4000" b="0" i="0" u="none" strike="noStrike">
                  <a:solidFill>
                    <a:srgbClr val="3E5451"/>
                  </a:solidFill>
                  <a:latin typeface="Times New Roman"/>
                  <a:cs typeface="Times New Roman"/>
                </a:rPr>
                <a:t>Average Year Spent</a:t>
              </a:fld>
              <a:endParaRPr lang="en-NG" sz="4000">
                <a:solidFill>
                  <a:srgbClr val="3E5451"/>
                </a:solidFill>
              </a:endParaRPr>
            </a:p>
          </xdr:txBody>
        </xdr:sp>
        <xdr:sp macro="" textlink="'Pivot Table'!D10">
          <xdr:nvSpPr>
            <xdr:cNvPr id="5" name="TextBox 4">
              <a:extLst>
                <a:ext uri="{FF2B5EF4-FFF2-40B4-BE49-F238E27FC236}">
                  <a16:creationId xmlns:a16="http://schemas.microsoft.com/office/drawing/2014/main" id="{62906BCC-B2D5-4D0A-9B77-0B9B0B297CF4}"/>
                </a:ext>
              </a:extLst>
            </xdr:cNvPr>
            <xdr:cNvSpPr txBox="1"/>
          </xdr:nvSpPr>
          <xdr:spPr>
            <a:xfrm>
              <a:off x="40906700" y="3559175"/>
              <a:ext cx="54991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AF26BC-24A0-451B-933F-E248241C75CA}" type="TxLink">
                <a:rPr lang="en-US" sz="4000" b="0" i="0" u="none" strike="noStrike">
                  <a:solidFill>
                    <a:srgbClr val="3E5451"/>
                  </a:solidFill>
                  <a:latin typeface="Times New Roman"/>
                  <a:cs typeface="Times New Roman"/>
                </a:rPr>
                <a:t>Numbers of Department</a:t>
              </a:fld>
              <a:endParaRPr lang="en-NG" sz="4000">
                <a:solidFill>
                  <a:srgbClr val="3E5451"/>
                </a:solidFill>
              </a:endParaRPr>
            </a:p>
          </xdr:txBody>
        </xdr:sp>
        <xdr:sp macro="" textlink="'Pivot Table'!E7">
          <xdr:nvSpPr>
            <xdr:cNvPr id="6" name="TextBox 5">
              <a:extLst>
                <a:ext uri="{FF2B5EF4-FFF2-40B4-BE49-F238E27FC236}">
                  <a16:creationId xmlns:a16="http://schemas.microsoft.com/office/drawing/2014/main" id="{D703DFF2-17B8-F691-1FBD-72B2D4F2F866}"/>
                </a:ext>
              </a:extLst>
            </xdr:cNvPr>
            <xdr:cNvSpPr txBox="1"/>
          </xdr:nvSpPr>
          <xdr:spPr>
            <a:xfrm>
              <a:off x="11366500" y="4546600"/>
              <a:ext cx="2317750" cy="168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EF69B6-DA5A-4770-A169-AFE5A425DBC6}" type="TxLink">
                <a:rPr lang="en-US" sz="12000" b="1" i="0" u="none" strike="noStrike">
                  <a:solidFill>
                    <a:srgbClr val="3E5451"/>
                  </a:solidFill>
                  <a:latin typeface="Stencil" panose="040409050D0802020404" pitchFamily="82" charset="0"/>
                  <a:cs typeface="Times New Roman"/>
                </a:rPr>
                <a:t>30</a:t>
              </a:fld>
              <a:endParaRPr lang="en-NG" sz="12000" b="1">
                <a:solidFill>
                  <a:srgbClr val="3E5451"/>
                </a:solidFill>
                <a:latin typeface="Stencil" panose="040409050D0802020404" pitchFamily="82" charset="0"/>
              </a:endParaRPr>
            </a:p>
          </xdr:txBody>
        </xdr:sp>
        <xdr:sp macro="" textlink="'Pivot Table'!E8">
          <xdr:nvSpPr>
            <xdr:cNvPr id="7" name="TextBox 6">
              <a:extLst>
                <a:ext uri="{FF2B5EF4-FFF2-40B4-BE49-F238E27FC236}">
                  <a16:creationId xmlns:a16="http://schemas.microsoft.com/office/drawing/2014/main" id="{F1472C44-919D-4102-A9E4-EEA8A62B12BB}"/>
                </a:ext>
              </a:extLst>
            </xdr:cNvPr>
            <xdr:cNvSpPr txBox="1"/>
          </xdr:nvSpPr>
          <xdr:spPr>
            <a:xfrm>
              <a:off x="20789900" y="4368800"/>
              <a:ext cx="5499100" cy="203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F8C1C7-16CD-414B-B683-522AFC17D449}" type="TxLink">
                <a:rPr lang="en-US" sz="12000" b="1" i="0" u="none" strike="noStrike">
                  <a:solidFill>
                    <a:srgbClr val="000000"/>
                  </a:solidFill>
                  <a:latin typeface="Stencil" panose="040409050D0802020404" pitchFamily="82" charset="0"/>
                  <a:cs typeface="Times New Roman"/>
                </a:rPr>
                <a:t>$96.7K</a:t>
              </a:fld>
              <a:endParaRPr lang="en-NG" sz="12000" b="1">
                <a:solidFill>
                  <a:srgbClr val="3E5451"/>
                </a:solidFill>
                <a:latin typeface="Stencil" panose="040409050D0802020404" pitchFamily="82" charset="0"/>
              </a:endParaRPr>
            </a:p>
          </xdr:txBody>
        </xdr:sp>
        <xdr:sp macro="" textlink="'Pivot Table'!E9">
          <xdr:nvSpPr>
            <xdr:cNvPr id="8" name="TextBox 7">
              <a:extLst>
                <a:ext uri="{FF2B5EF4-FFF2-40B4-BE49-F238E27FC236}">
                  <a16:creationId xmlns:a16="http://schemas.microsoft.com/office/drawing/2014/main" id="{E4F07312-F14E-41CC-897F-33F20E284935}"/>
                </a:ext>
              </a:extLst>
            </xdr:cNvPr>
            <xdr:cNvSpPr txBox="1"/>
          </xdr:nvSpPr>
          <xdr:spPr>
            <a:xfrm>
              <a:off x="30848300" y="4540250"/>
              <a:ext cx="3854450" cy="16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D1A9A9-7577-424C-80EB-CB8383C4D706}" type="TxLink">
                <a:rPr lang="en-US" sz="12000" b="0" i="0" u="none" strike="noStrike">
                  <a:solidFill>
                    <a:srgbClr val="000000"/>
                  </a:solidFill>
                  <a:latin typeface="Stencil" panose="040409050D0802020404" pitchFamily="82" charset="0"/>
                  <a:cs typeface="Times New Roman"/>
                </a:rPr>
                <a:t>8.13</a:t>
              </a:fld>
              <a:endParaRPr lang="en-NG" sz="12000" b="1">
                <a:solidFill>
                  <a:srgbClr val="3E5451"/>
                </a:solidFill>
                <a:latin typeface="Stencil" panose="040409050D0802020404" pitchFamily="82" charset="0"/>
              </a:endParaRPr>
            </a:p>
          </xdr:txBody>
        </xdr:sp>
        <xdr:sp macro="" textlink="">
          <xdr:nvSpPr>
            <xdr:cNvPr id="9" name="TextBox 8">
              <a:extLst>
                <a:ext uri="{FF2B5EF4-FFF2-40B4-BE49-F238E27FC236}">
                  <a16:creationId xmlns:a16="http://schemas.microsoft.com/office/drawing/2014/main" id="{D41D2162-7628-40F5-AFDD-52185E9BCA4C}"/>
                </a:ext>
              </a:extLst>
            </xdr:cNvPr>
            <xdr:cNvSpPr txBox="1"/>
          </xdr:nvSpPr>
          <xdr:spPr>
            <a:xfrm>
              <a:off x="34080450" y="5243512"/>
              <a:ext cx="1606550" cy="66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rgbClr val="3E5451"/>
                  </a:solidFill>
                  <a:latin typeface="Times New Roman"/>
                  <a:cs typeface="Times New Roman"/>
                </a:rPr>
                <a:t>Years</a:t>
              </a:r>
            </a:p>
          </xdr:txBody>
        </xdr:sp>
        <xdr:sp macro="" textlink="'Pivot Table'!E10">
          <xdr:nvSpPr>
            <xdr:cNvPr id="10" name="TextBox 9">
              <a:extLst>
                <a:ext uri="{FF2B5EF4-FFF2-40B4-BE49-F238E27FC236}">
                  <a16:creationId xmlns:a16="http://schemas.microsoft.com/office/drawing/2014/main" id="{2D8F9198-0B65-434B-9485-F5F140BE7208}"/>
                </a:ext>
              </a:extLst>
            </xdr:cNvPr>
            <xdr:cNvSpPr txBox="1"/>
          </xdr:nvSpPr>
          <xdr:spPr>
            <a:xfrm>
              <a:off x="42176700" y="4568825"/>
              <a:ext cx="1670050"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E508FB-0D78-4844-8EE6-7F9D60788B82}" type="TxLink">
                <a:rPr lang="en-US" sz="12000" b="0" i="0" u="none" strike="noStrike">
                  <a:solidFill>
                    <a:srgbClr val="000000"/>
                  </a:solidFill>
                  <a:latin typeface="Stencil" panose="040409050D0802020404" pitchFamily="82" charset="0"/>
                  <a:cs typeface="Times New Roman"/>
                </a:rPr>
                <a:t>6</a:t>
              </a:fld>
              <a:endParaRPr lang="en-NG" sz="12000" b="1">
                <a:solidFill>
                  <a:srgbClr val="3E5451"/>
                </a:solidFill>
                <a:latin typeface="Stencil" panose="040409050D0802020404" pitchFamily="82" charset="0"/>
              </a:endParaRPr>
            </a:p>
          </xdr:txBody>
        </xdr:sp>
        <xdr:pic>
          <xdr:nvPicPr>
            <xdr:cNvPr id="12" name="Graphic 11" descr="Bank with solid fill">
              <a:extLst>
                <a:ext uri="{FF2B5EF4-FFF2-40B4-BE49-F238E27FC236}">
                  <a16:creationId xmlns:a16="http://schemas.microsoft.com/office/drawing/2014/main" id="{B2D52B7D-9C99-9E4E-9E66-BF907DCA10F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704250" y="3791147"/>
              <a:ext cx="2794000" cy="2794000"/>
            </a:xfrm>
            <a:prstGeom prst="rect">
              <a:avLst/>
            </a:prstGeom>
          </xdr:spPr>
        </xdr:pic>
        <xdr:pic>
          <xdr:nvPicPr>
            <xdr:cNvPr id="16" name="Graphic 15" descr="Daily calendar with solid fill">
              <a:extLst>
                <a:ext uri="{FF2B5EF4-FFF2-40B4-BE49-F238E27FC236}">
                  <a16:creationId xmlns:a16="http://schemas.microsoft.com/office/drawing/2014/main" id="{D89F754D-C6F5-BF59-FFCA-D0CA62F8E7E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558500" y="3782397"/>
              <a:ext cx="2811500" cy="2811500"/>
            </a:xfrm>
            <a:prstGeom prst="rect">
              <a:avLst/>
            </a:prstGeom>
          </xdr:spPr>
        </xdr:pic>
        <xdr:pic>
          <xdr:nvPicPr>
            <xdr:cNvPr id="18" name="Graphic 17" descr="Group with solid fill">
              <a:extLst>
                <a:ext uri="{FF2B5EF4-FFF2-40B4-BE49-F238E27FC236}">
                  <a16:creationId xmlns:a16="http://schemas.microsoft.com/office/drawing/2014/main" id="{DF581911-1A4A-5FB0-BC16-CA3F5345500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5610623" y="3593249"/>
              <a:ext cx="3026626" cy="3189796"/>
            </a:xfrm>
            <a:prstGeom prst="rect">
              <a:avLst/>
            </a:prstGeom>
          </xdr:spPr>
        </xdr:pic>
        <xdr:pic>
          <xdr:nvPicPr>
            <xdr:cNvPr id="21" name="Graphic 20" descr="Money with solid fill">
              <a:extLst>
                <a:ext uri="{FF2B5EF4-FFF2-40B4-BE49-F238E27FC236}">
                  <a16:creationId xmlns:a16="http://schemas.microsoft.com/office/drawing/2014/main" id="{DCAE74E0-32C8-4FC1-D0AF-E03298D355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762000" y="3853022"/>
              <a:ext cx="2670250" cy="2670250"/>
            </a:xfrm>
            <a:prstGeom prst="rect">
              <a:avLst/>
            </a:prstGeom>
          </xdr:spPr>
        </xdr:pic>
        <xdr:graphicFrame macro="">
          <xdr:nvGraphicFramePr>
            <xdr:cNvPr id="23" name="Chart 22">
              <a:extLst>
                <a:ext uri="{FF2B5EF4-FFF2-40B4-BE49-F238E27FC236}">
                  <a16:creationId xmlns:a16="http://schemas.microsoft.com/office/drawing/2014/main" id="{A89426D5-A8C6-4C2C-8167-F84745CAA076}"/>
                </a:ext>
              </a:extLst>
            </xdr:cNvPr>
            <xdr:cNvGraphicFramePr>
              <a:graphicFrameLocks/>
            </xdr:cNvGraphicFramePr>
          </xdr:nvGraphicFramePr>
          <xdr:xfrm>
            <a:off x="10445750" y="7778750"/>
            <a:ext cx="18954750" cy="7683500"/>
          </xdr:xfrm>
          <a:graphic>
            <a:graphicData uri="http://schemas.openxmlformats.org/drawingml/2006/chart">
              <c:chart xmlns:c="http://schemas.openxmlformats.org/drawingml/2006/chart" xmlns:r="http://schemas.openxmlformats.org/officeDocument/2006/relationships" r:id="rId18"/>
            </a:graphicData>
          </a:graphic>
        </xdr:graphicFrame>
        <xdr:sp macro="" textlink="'Pivot Table'!D7">
          <xdr:nvSpPr>
            <xdr:cNvPr id="25" name="TextBox 24">
              <a:extLst>
                <a:ext uri="{FF2B5EF4-FFF2-40B4-BE49-F238E27FC236}">
                  <a16:creationId xmlns:a16="http://schemas.microsoft.com/office/drawing/2014/main" id="{89519DCB-7E2D-42C6-B82F-3EB42E620B05}"/>
                </a:ext>
              </a:extLst>
            </xdr:cNvPr>
            <xdr:cNvSpPr txBox="1"/>
          </xdr:nvSpPr>
          <xdr:spPr>
            <a:xfrm>
              <a:off x="10534650" y="7270750"/>
              <a:ext cx="113411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3E5451"/>
                  </a:solidFill>
                  <a:latin typeface="Times New Roman"/>
                  <a:cs typeface="Times New Roman"/>
                </a:rPr>
                <a:t>Average</a:t>
              </a:r>
              <a:r>
                <a:rPr lang="en-US" sz="3200" b="0" i="0" u="none" strike="noStrike" baseline="0">
                  <a:solidFill>
                    <a:srgbClr val="3E5451"/>
                  </a:solidFill>
                  <a:latin typeface="Times New Roman"/>
                  <a:cs typeface="Times New Roman"/>
                </a:rPr>
                <a:t> &amp; Total Salary Across Departments</a:t>
              </a:r>
              <a:endParaRPr lang="en-NG" sz="4000">
                <a:solidFill>
                  <a:srgbClr val="3E5451"/>
                </a:solidFill>
              </a:endParaRPr>
            </a:p>
          </xdr:txBody>
        </xdr:sp>
        <xdr:graphicFrame macro="">
          <xdr:nvGraphicFramePr>
            <xdr:cNvPr id="32" name="Chart 31">
              <a:extLst>
                <a:ext uri="{FF2B5EF4-FFF2-40B4-BE49-F238E27FC236}">
                  <a16:creationId xmlns:a16="http://schemas.microsoft.com/office/drawing/2014/main" id="{7C5A5BCE-B0B3-4A68-9E10-CA94F7E5EDCC}"/>
                </a:ext>
              </a:extLst>
            </xdr:cNvPr>
            <xdr:cNvGraphicFramePr>
              <a:graphicFrameLocks/>
            </xdr:cNvGraphicFramePr>
          </xdr:nvGraphicFramePr>
          <xdr:xfrm>
            <a:off x="10731500" y="16732250"/>
            <a:ext cx="18637250" cy="7524750"/>
          </xdr:xfrm>
          <a:graphic>
            <a:graphicData uri="http://schemas.openxmlformats.org/drawingml/2006/chart">
              <c:chart xmlns:c="http://schemas.openxmlformats.org/drawingml/2006/chart" xmlns:r="http://schemas.openxmlformats.org/officeDocument/2006/relationships" r:id="rId19"/>
            </a:graphicData>
          </a:graphic>
        </xdr:graphicFrame>
        <xdr:sp macro="" textlink="'Pivot Table'!D7">
          <xdr:nvSpPr>
            <xdr:cNvPr id="34" name="TextBox 33">
              <a:extLst>
                <a:ext uri="{FF2B5EF4-FFF2-40B4-BE49-F238E27FC236}">
                  <a16:creationId xmlns:a16="http://schemas.microsoft.com/office/drawing/2014/main" id="{DC249D2F-4BC2-4FBB-9983-A00C475C64AE}"/>
                </a:ext>
              </a:extLst>
            </xdr:cNvPr>
            <xdr:cNvSpPr txBox="1"/>
          </xdr:nvSpPr>
          <xdr:spPr>
            <a:xfrm>
              <a:off x="10623550" y="16217900"/>
              <a:ext cx="42672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3E5451"/>
                  </a:solidFill>
                  <a:latin typeface="Times New Roman"/>
                  <a:cs typeface="Times New Roman"/>
                </a:rPr>
                <a:t>Yearly Hiring Trend</a:t>
              </a:r>
              <a:endParaRPr lang="en-NG" sz="4000">
                <a:solidFill>
                  <a:srgbClr val="3E5451"/>
                </a:solidFill>
              </a:endParaRPr>
            </a:p>
          </xdr:txBody>
        </xdr:sp>
        <xdr:graphicFrame macro="">
          <xdr:nvGraphicFramePr>
            <xdr:cNvPr id="35" name="Chart 34">
              <a:extLst>
                <a:ext uri="{FF2B5EF4-FFF2-40B4-BE49-F238E27FC236}">
                  <a16:creationId xmlns:a16="http://schemas.microsoft.com/office/drawing/2014/main" id="{889C7FD6-D3EB-49F0-B76D-ED8576D6AF58}"/>
                </a:ext>
              </a:extLst>
            </xdr:cNvPr>
            <xdr:cNvGraphicFramePr>
              <a:graphicFrameLocks/>
            </xdr:cNvGraphicFramePr>
          </xdr:nvGraphicFramePr>
          <xdr:xfrm>
            <a:off x="30638750" y="16859250"/>
            <a:ext cx="18669000" cy="7175500"/>
          </xdr:xfrm>
          <a:graphic>
            <a:graphicData uri="http://schemas.openxmlformats.org/drawingml/2006/chart">
              <c:chart xmlns:c="http://schemas.openxmlformats.org/drawingml/2006/chart" xmlns:r="http://schemas.openxmlformats.org/officeDocument/2006/relationships" r:id="rId20"/>
            </a:graphicData>
          </a:graphic>
        </xdr:graphicFrame>
        <xdr:sp macro="" textlink="'Pivot Table'!D7">
          <xdr:nvSpPr>
            <xdr:cNvPr id="36" name="TextBox 35">
              <a:extLst>
                <a:ext uri="{FF2B5EF4-FFF2-40B4-BE49-F238E27FC236}">
                  <a16:creationId xmlns:a16="http://schemas.microsoft.com/office/drawing/2014/main" id="{2791E94C-F983-4CAA-81DF-2F035A813DFD}"/>
                </a:ext>
              </a:extLst>
            </xdr:cNvPr>
            <xdr:cNvSpPr txBox="1"/>
          </xdr:nvSpPr>
          <xdr:spPr>
            <a:xfrm>
              <a:off x="30683200" y="16116300"/>
              <a:ext cx="110363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i="0" u="none" strike="noStrike">
                  <a:solidFill>
                    <a:srgbClr val="3E5451"/>
                  </a:solidFill>
                  <a:latin typeface="Times New Roman"/>
                  <a:cs typeface="Times New Roman"/>
                </a:rPr>
                <a:t>Employees Distirbution Across Dept. &amp; Avg Year of Exp.</a:t>
              </a:r>
              <a:endParaRPr lang="en-NG" sz="4000">
                <a:solidFill>
                  <a:srgbClr val="3E5451"/>
                </a:solidFill>
              </a:endParaRPr>
            </a:p>
          </xdr:txBody>
        </xdr:sp>
        <xdr:graphicFrame macro="">
          <xdr:nvGraphicFramePr>
            <xdr:cNvPr id="37" name="Chart 36">
              <a:extLst>
                <a:ext uri="{FF2B5EF4-FFF2-40B4-BE49-F238E27FC236}">
                  <a16:creationId xmlns:a16="http://schemas.microsoft.com/office/drawing/2014/main" id="{E366D31C-AF20-442B-B8C2-477FA7FDDA04}"/>
                </a:ext>
              </a:extLst>
            </xdr:cNvPr>
            <xdr:cNvGraphicFramePr>
              <a:graphicFrameLocks/>
            </xdr:cNvGraphicFramePr>
          </xdr:nvGraphicFramePr>
          <xdr:xfrm>
            <a:off x="30353000" y="7715250"/>
            <a:ext cx="19113500" cy="7524750"/>
          </xdr:xfrm>
          <a:graphic>
            <a:graphicData uri="http://schemas.openxmlformats.org/drawingml/2006/chart">
              <c:chart xmlns:c="http://schemas.openxmlformats.org/drawingml/2006/chart" xmlns:r="http://schemas.openxmlformats.org/officeDocument/2006/relationships" r:id="rId21"/>
            </a:graphicData>
          </a:graphic>
        </xdr:graphicFrame>
      </xdr:grpSp>
      <mc:AlternateContent xmlns:mc="http://schemas.openxmlformats.org/markup-compatibility/2006">
        <mc:Choice xmlns:a14="http://schemas.microsoft.com/office/drawing/2010/main" Requires="a14">
          <xdr:graphicFrame macro="">
            <xdr:nvGraphicFramePr>
              <xdr:cNvPr id="45" name="HireDate (Year)">
                <a:extLst>
                  <a:ext uri="{FF2B5EF4-FFF2-40B4-BE49-F238E27FC236}">
                    <a16:creationId xmlns:a16="http://schemas.microsoft.com/office/drawing/2014/main" id="{DE63A39A-C6E9-45C9-84ED-0D02AF7132E2}"/>
                  </a:ext>
                </a:extLst>
              </xdr:cNvPr>
              <xdr:cNvGraphicFramePr/>
            </xdr:nvGraphicFramePr>
            <xdr:xfrm>
              <a:off x="25095194" y="2190750"/>
              <a:ext cx="13877778" cy="972000"/>
            </xdr:xfrm>
            <a:graphic>
              <a:graphicData uri="http://schemas.microsoft.com/office/drawing/2010/slicer">
                <sle:slicer xmlns:sle="http://schemas.microsoft.com/office/drawing/2010/slicer" name="HireDate (Year)"/>
              </a:graphicData>
            </a:graphic>
          </xdr:graphicFrame>
        </mc:Choice>
        <mc:Fallback>
          <xdr:sp macro="" textlink="">
            <xdr:nvSpPr>
              <xdr:cNvPr id="0" name=""/>
              <xdr:cNvSpPr>
                <a:spLocks noTextEdit="1"/>
              </xdr:cNvSpPr>
            </xdr:nvSpPr>
            <xdr:spPr>
              <a:xfrm>
                <a:off x="30873694" y="1778000"/>
                <a:ext cx="13877778" cy="97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HireDate (Month)">
                <a:extLst>
                  <a:ext uri="{FF2B5EF4-FFF2-40B4-BE49-F238E27FC236}">
                    <a16:creationId xmlns:a16="http://schemas.microsoft.com/office/drawing/2014/main" id="{E9D0FD50-AE0D-41AF-BB3A-825AE1CA4813}"/>
                  </a:ext>
                </a:extLst>
              </xdr:cNvPr>
              <xdr:cNvGraphicFramePr/>
            </xdr:nvGraphicFramePr>
            <xdr:xfrm>
              <a:off x="38322250" y="2222500"/>
              <a:ext cx="12149784" cy="972000"/>
            </xdr:xfrm>
            <a:graphic>
              <a:graphicData uri="http://schemas.microsoft.com/office/drawing/2010/slicer">
                <sle:slicer xmlns:sle="http://schemas.microsoft.com/office/drawing/2010/slicer" name="HireDate (Month)"/>
              </a:graphicData>
            </a:graphic>
          </xdr:graphicFrame>
        </mc:Choice>
        <mc:Fallback>
          <xdr:sp macro="" textlink="">
            <xdr:nvSpPr>
              <xdr:cNvPr id="0" name=""/>
              <xdr:cNvSpPr>
                <a:spLocks noTextEdit="1"/>
              </xdr:cNvSpPr>
            </xdr:nvSpPr>
            <xdr:spPr>
              <a:xfrm>
                <a:off x="44100750" y="1809750"/>
                <a:ext cx="12149784" cy="972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2" name="Rectangle: Rounded Corners 41">
            <a:extLst>
              <a:ext uri="{FF2B5EF4-FFF2-40B4-BE49-F238E27FC236}">
                <a16:creationId xmlns:a16="http://schemas.microsoft.com/office/drawing/2014/main" id="{E4A7EE68-E9C7-4A23-3336-B2CF45389957}"/>
              </a:ext>
            </a:extLst>
          </xdr:cNvPr>
          <xdr:cNvSpPr/>
        </xdr:nvSpPr>
        <xdr:spPr>
          <a:xfrm>
            <a:off x="50514250" y="793750"/>
            <a:ext cx="5207000" cy="24034750"/>
          </a:xfrm>
          <a:prstGeom prst="roundRect">
            <a:avLst>
              <a:gd name="adj" fmla="val 3139"/>
            </a:avLst>
          </a:prstGeom>
          <a:solidFill>
            <a:srgbClr val="E9ED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mc:AlternateContent xmlns:mc="http://schemas.openxmlformats.org/markup-compatibility/2006">
        <mc:Choice xmlns:a14="http://schemas.microsoft.com/office/drawing/2010/main" Requires="a14">
          <xdr:graphicFrame macro="">
            <xdr:nvGraphicFramePr>
              <xdr:cNvPr id="40" name="JobTitle">
                <a:extLst>
                  <a:ext uri="{FF2B5EF4-FFF2-40B4-BE49-F238E27FC236}">
                    <a16:creationId xmlns:a16="http://schemas.microsoft.com/office/drawing/2014/main" id="{9CBB1BD1-D15B-47FE-A3CC-DCD363EB1002}"/>
                  </a:ext>
                </a:extLst>
              </xdr:cNvPr>
              <xdr:cNvGraphicFramePr/>
            </xdr:nvGraphicFramePr>
            <xdr:xfrm>
              <a:off x="51161944" y="2159000"/>
              <a:ext cx="3951450" cy="22193250"/>
            </xdr:xfrm>
            <a:graphic>
              <a:graphicData uri="http://schemas.microsoft.com/office/drawing/2010/slicer">
                <sle:slicer xmlns:sle="http://schemas.microsoft.com/office/drawing/2010/slicer" name="JobTitle"/>
              </a:graphicData>
            </a:graphic>
          </xdr:graphicFrame>
        </mc:Choice>
        <mc:Fallback>
          <xdr:sp macro="" textlink="">
            <xdr:nvSpPr>
              <xdr:cNvPr id="0" name=""/>
              <xdr:cNvSpPr>
                <a:spLocks noTextEdit="1"/>
              </xdr:cNvSpPr>
            </xdr:nvSpPr>
            <xdr:spPr>
              <a:xfrm>
                <a:off x="56940444" y="1746250"/>
                <a:ext cx="3951450" cy="22193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2615739" backgroundQuery="1" createdVersion="8" refreshedVersion="8" minRefreshableVersion="3" recordCount="0" supportSubquery="1" supportAdvancedDrill="1" xr:uid="{F1720667-253D-421E-AF4C-2A8C8BBC9B64}">
  <cacheSource type="external" connectionId="2"/>
  <cacheFields count="4">
    <cacheField name="[Table1].[Department].[Department]" caption="Department" numFmtId="0" hierarchy="3" level="1">
      <sharedItems count="6">
        <s v="Finance"/>
        <s v="HR"/>
        <s v="IT"/>
        <s v="Marketing"/>
        <s v="Operations"/>
        <s v="Sales"/>
      </sharedItems>
    </cacheField>
    <cacheField name="[Measures].[Count of EmpID]" caption="Count of EmpID" numFmtId="0" hierarchy="15" level="32767"/>
    <cacheField name="[Measures].[Average of YearsExperience]" caption="Average of YearsExperience" numFmtId="0" hierarchy="18" level="32767"/>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2" memberValueDatatype="130" unbalanced="0"/>
    <cacheHierarchy uniqueName="[Table1].[FullName]" caption="FullName" attribute="1" defaultMemberUniqueName="[Table1].[FullName].[All]" allUniqueName="[Table1].[FullName].[All]" dimensionUniqueName="[Table1]" displayFolder="" count="2"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3"/>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Date]" caption="HireDate" attribute="1" time="1" defaultMemberUniqueName="[Table1].[HireDate].[All]" allUniqueName="[Table1].[HireDate].[All]" dimensionUniqueName="[Table1]" displayFolder="" count="2" memberValueDatatype="7" unbalanced="0"/>
    <cacheHierarchy uniqueName="[Table1].[Salary]" caption="Salary" attribute="1" defaultMemberUniqueName="[Table1].[Salary].[All]" allUniqueName="[Table1].[Salary].[All]" dimensionUniqueName="[Table1]" displayFolder="" count="2" memberValueDatatype="5" unbalanced="0"/>
    <cacheHierarchy uniqueName="[Table1].[YearsExperience]" caption="YearsExperience" attribute="1" defaultMemberUniqueName="[Table1].[YearsExperience].[All]" allUniqueName="[Table1].[YearsExperience].[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2"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3194447" backgroundQuery="1" createdVersion="8" refreshedVersion="8" minRefreshableVersion="3" recordCount="0" supportSubquery="1" supportAdvancedDrill="1" xr:uid="{75F573D3-0536-4560-9153-8200595A6C1E}">
  <cacheSource type="external" connectionId="2"/>
  <cacheFields count="5">
    <cacheField name="[Table1].[Department].[Department]" caption="Department" numFmtId="0" hierarchy="3" level="1">
      <sharedItems count="6">
        <s v="Finance"/>
        <s v="HR"/>
        <s v="IT"/>
        <s v="Marketing"/>
        <s v="Operations"/>
        <s v="Sales"/>
      </sharedItems>
    </cacheField>
    <cacheField name="[Measures].[Count of EmpID]" caption="Count of EmpID" numFmtId="0" hierarchy="15" level="32767"/>
    <cacheField name="[Table1].[City].[City]" caption="City" numFmtId="0" hierarchy="8" level="1">
      <sharedItems count="3">
        <s v="Berlin"/>
        <s v="Paris"/>
        <s v="Toronto"/>
      </sharedItems>
    </cacheField>
    <cacheField name="[Measures].[Sum of Salary]" caption="Sum of Salary" numFmtId="0" hierarchy="16" level="32767"/>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2" memberValueDatatype="130" unbalanced="0"/>
    <cacheHierarchy uniqueName="[Table1].[FullName]" caption="FullName" attribute="1" defaultMemberUniqueName="[Table1].[FullName].[All]" allUniqueName="[Table1].[FullName].[All]" dimensionUniqueName="[Table1]" displayFolder="" count="2"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4"/>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Date]" caption="HireDate" attribute="1" time="1" defaultMemberUniqueName="[Table1].[HireDate].[All]" allUniqueName="[Table1].[HireDate].[All]" dimensionUniqueName="[Table1]" displayFolder="" count="2" memberValueDatatype="7" unbalanced="0"/>
    <cacheHierarchy uniqueName="[Table1].[Salary]" caption="Salary" attribute="1" defaultMemberUniqueName="[Table1].[Salary].[All]" allUniqueName="[Table1].[Salary].[All]" dimensionUniqueName="[Table1]" displayFolder="" count="2" memberValueDatatype="5" unbalanced="0"/>
    <cacheHierarchy uniqueName="[Table1].[YearsExperience]" caption="YearsExperience" attribute="1" defaultMemberUniqueName="[Table1].[YearsExperience].[All]" allUniqueName="[Table1].[YearsExperience].[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2"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3773147" backgroundQuery="1" createdVersion="8" refreshedVersion="8" minRefreshableVersion="3" recordCount="0" supportSubquery="1" supportAdvancedDrill="1" xr:uid="{A9219BC8-BC30-4942-91DF-04F4BB8CECA3}">
  <cacheSource type="external" connectionId="2"/>
  <cacheFields count="4">
    <cacheField name="[Table1].[Department].[Department]" caption="Department" numFmtId="0" hierarchy="3" level="1">
      <sharedItems count="3">
        <s v="HR"/>
        <s v="Operations"/>
        <s v="Sales"/>
      </sharedItems>
    </cacheField>
    <cacheField name="[Table1].[City].[City]" caption="City" numFmtId="0" hierarchy="8" level="1">
      <sharedItems count="3">
        <s v="Berlin"/>
        <s v="Paris"/>
        <s v="Toronto"/>
      </sharedItems>
    </cacheField>
    <cacheField name="[Measures].[Sum of YearsExperience]" caption="Sum of YearsExperience" numFmtId="0" hierarchy="17" level="32767"/>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2" memberValueDatatype="130" unbalanced="0"/>
    <cacheHierarchy uniqueName="[Table1].[FullName]" caption="FullName" attribute="1" defaultMemberUniqueName="[Table1].[FullName].[All]" allUniqueName="[Table1].[FullName].[All]" dimensionUniqueName="[Table1]" displayFolder="" count="2"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3"/>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Date]" caption="HireDate" attribute="1" time="1" defaultMemberUniqueName="[Table1].[HireDate].[All]" allUniqueName="[Table1].[HireDate].[All]" dimensionUniqueName="[Table1]" displayFolder="" count="2" memberValueDatatype="7" unbalanced="0"/>
    <cacheHierarchy uniqueName="[Table1].[Salary]" caption="Salary" attribute="1" defaultMemberUniqueName="[Table1].[Salary].[All]" allUniqueName="[Table1].[Salary].[All]" dimensionUniqueName="[Table1]" displayFolder="" count="2" memberValueDatatype="5" unbalanced="0"/>
    <cacheHierarchy uniqueName="[Table1].[YearsExperience]" caption="YearsExperience" attribute="1" defaultMemberUniqueName="[Table1].[YearsExperience].[All]" allUniqueName="[Table1].[YearsExperience].[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2"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4236109" backgroundQuery="1" createdVersion="8" refreshedVersion="8" minRefreshableVersion="3" recordCount="0" supportSubquery="1" supportAdvancedDrill="1" xr:uid="{8F3D5F75-E012-41F5-9A8E-3D0035560325}">
  <cacheSource type="external" connectionId="2"/>
  <cacheFields count="5">
    <cacheField name="[Table1].[City].[City]" caption="City" numFmtId="0" hierarchy="8" level="1">
      <sharedItems count="3">
        <s v="Berlin"/>
        <s v="Paris"/>
        <s v="Toronto"/>
      </sharedItems>
    </cacheField>
    <cacheField name="[Table1].[EmpID].[EmpID]" caption="EmpID" numFmtId="0" level="1">
      <sharedItems count="3">
        <s v="EMP003"/>
        <s v="EMP012"/>
        <s v="EMP018"/>
      </sharedItems>
    </cacheField>
    <cacheField name="[Measures].[Sum of YearsExperience]" caption="Sum of YearsExperience" numFmtId="0" hierarchy="17" level="32767"/>
    <cacheField name="[Table1].[FullName].[FullName]" caption="FullName" numFmtId="0" hierarchy="1" level="1">
      <sharedItems count="3">
        <s v="Ava Taylor"/>
        <s v="Charlotte King"/>
        <s v="Jane Smith"/>
      </sharedItems>
    </cacheField>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2" memberValueDatatype="130" unbalanced="0">
      <fieldsUsage count="2">
        <fieldUsage x="-1"/>
        <fieldUsage x="1"/>
      </fieldsUsage>
    </cacheHierarchy>
    <cacheHierarchy uniqueName="[Table1].[FullName]" caption="FullName" attribute="1" defaultMemberUniqueName="[Table1].[FullName].[All]" allUniqueName="[Table1].[FullName].[All]" dimensionUniqueName="[Table1]" displayFolder="" count="2" memberValueDatatype="130" unbalanced="0">
      <fieldsUsage count="2">
        <fieldUsage x="-1"/>
        <fieldUsage x="3"/>
      </fieldsUsage>
    </cacheHierarchy>
    <cacheHierarchy uniqueName="[Table1].[JobTitle]" caption="JobTitle" attribute="1" defaultMemberUniqueName="[Table1].[JobTitle].[All]" allUniqueName="[Table1].[JobTitle].[All]" dimensionUniqueName="[Table1]" displayFolder="" count="2" memberValueDatatype="130" unbalanced="0">
      <fieldsUsage count="2">
        <fieldUsage x="-1"/>
        <fieldUsage x="4"/>
      </fieldsUsage>
    </cacheHierarchy>
    <cacheHierarchy uniqueName="[Table1].[Department]" caption="Department" attribute="1" defaultMemberUniqueName="[Table1].[Department].[All]" allUniqueName="[Table1].[Department].[All]" dimensionUniqueName="[Table1]" displayFolder="" count="2" memberValueDatatype="130" unbalanced="0"/>
    <cacheHierarchy uniqueName="[Table1].[HireDate]" caption="HireDate" attribute="1" time="1" defaultMemberUniqueName="[Table1].[HireDate].[All]" allUniqueName="[Table1].[HireDate].[All]" dimensionUniqueName="[Table1]" displayFolder="" count="2" memberValueDatatype="7" unbalanced="0"/>
    <cacheHierarchy uniqueName="[Table1].[Salary]" caption="Salary" attribute="1" defaultMemberUniqueName="[Table1].[Salary].[All]" allUniqueName="[Table1].[Salary].[All]" dimensionUniqueName="[Table1]" displayFolder="" count="2" memberValueDatatype="5" unbalanced="0"/>
    <cacheHierarchy uniqueName="[Table1].[YearsExperience]" caption="YearsExperience" attribute="1" defaultMemberUniqueName="[Table1].[YearsExperience].[All]" allUniqueName="[Table1].[YearsExperience].[All]" dimensionUniqueName="[Table1]" displayFolder="" count="2"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2"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4930556" backgroundQuery="1" createdVersion="8" refreshedVersion="8" minRefreshableVersion="3" recordCount="0" supportSubquery="1" supportAdvancedDrill="1" xr:uid="{A4F4F41B-BD70-4DEA-8358-4DDA72C6C695}">
  <cacheSource type="external" connectionId="2"/>
  <cacheFields count="5">
    <cacheField name="[Measures].[Count of EmpID]" caption="Count of EmpID" numFmtId="0" hierarchy="15" level="32767"/>
    <cacheField name="[Measures].[Average of YearsExperience]" caption="Average of YearsExperience" numFmtId="0" hierarchy="18" level="32767"/>
    <cacheField name="[Measures].[Distinct Count of Department]" caption="Distinct Count of Department" numFmtId="0" hierarchy="20" level="32767"/>
    <cacheField name="[Measures].[Average of Salary]" caption="Average of Salary" numFmtId="0" hierarchy="23" level="32767"/>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4"/>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5277779" backgroundQuery="1" createdVersion="8" refreshedVersion="8" minRefreshableVersion="3" recordCount="0" supportSubquery="1" supportAdvancedDrill="1" xr:uid="{1BD985B4-E6FD-4EDC-B067-BFC6BFD9BC15}">
  <cacheSource type="external" connectionId="2"/>
  <cacheFields count="3">
    <cacheField name="[Measures].[Sum of Salary]" caption="Sum of Salary" numFmtId="0" hierarchy="16" level="32767"/>
    <cacheField name="[Table1].[FullName].[FullName]" caption="FullName" numFmtId="0" hierarchy="1" level="1">
      <sharedItems count="5">
        <s v="Charlotte King"/>
        <s v="Daniel Perez"/>
        <s v="Daniel Scott"/>
        <s v="James Johnson"/>
        <s v="Sofia Mitchell"/>
      </sharedItems>
    </cacheField>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1"/>
      </fieldsUsage>
    </cacheHierarchy>
    <cacheHierarchy uniqueName="[Table1].[JobTitle]" caption="JobTitle" attribute="1" defaultMemberUniqueName="[Table1].[JobTitle].[All]" allUniqueName="[Table1].[JobTitle].[All]" dimensionUniqueName="[Table1]" displayFolder="" count="2" memberValueDatatype="130" unbalanced="0">
      <fieldsUsage count="2">
        <fieldUsage x="-1"/>
        <fieldUsage x="2"/>
      </fieldsUsage>
    </cacheHierarchy>
    <cacheHierarchy uniqueName="[Table1].[Department]" caption="Department" attribute="1" defaultMemberUniqueName="[Table1].[Department].[All]" allUniqueName="[Table1].[Department].[All]" dimensionUniqueName="[Table1]" displayFolder="" count="2"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5972225" backgroundQuery="1" createdVersion="8" refreshedVersion="8" minRefreshableVersion="3" recordCount="0" supportSubquery="1" supportAdvancedDrill="1" xr:uid="{6D629D77-D799-4312-B874-5291B801320C}">
  <cacheSource type="external" connectionId="2"/>
  <cacheFields count="4">
    <cacheField name="[Table1].[Department].[Department]" caption="Department" numFmtId="0" hierarchy="3" level="1">
      <sharedItems count="6">
        <s v="Finance"/>
        <s v="HR"/>
        <s v="IT"/>
        <s v="Marketing"/>
        <s v="Operations"/>
        <s v="Sales"/>
      </sharedItems>
    </cacheField>
    <cacheField name="[Measures].[Sum of Salary]" caption="Sum of Salary" numFmtId="0" hierarchy="16" level="32767"/>
    <cacheField name="[Measures].[Average of Salary]" caption="Average of Salary" numFmtId="0" hierarchy="23" level="32767"/>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3"/>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6666665" backgroundQuery="1" createdVersion="8" refreshedVersion="8" minRefreshableVersion="3" recordCount="0" supportSubquery="1" supportAdvancedDrill="1" xr:uid="{8979FCD3-F556-4122-AD9C-19C0AE75F0DB}">
  <cacheSource type="external" connectionId="2"/>
  <cacheFields count="3">
    <cacheField name="[Measures].[Count of EmpID]" caption="Count of EmpID" numFmtId="0" hierarchy="15" level="32767"/>
    <cacheField name="[Table1].[HireDate (Year)].[HireDate (Year)]" caption="HireDate (Year)" numFmtId="0" hierarchy="9" level="1">
      <sharedItems count="11">
        <s v="2012"/>
        <s v="2013"/>
        <s v="2014"/>
        <s v="2015"/>
        <s v="2016"/>
        <s v="2017"/>
        <s v="2018"/>
        <s v="2019"/>
        <s v="2020"/>
        <s v="2021"/>
        <s v="2022"/>
      </sharedItems>
    </cacheField>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2"/>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2"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2" memberValueDatatype="130" unbalanced="0">
      <fieldsUsage count="2">
        <fieldUsage x="-1"/>
        <fieldUsage x="1"/>
      </fieldsUsage>
    </cacheHierarchy>
    <cacheHierarchy uniqueName="[Table1].[HireDate (Quarter)]" caption="HireDate (Quarter)" attribute="1" defaultMemberUniqueName="[Table1].[HireDate (Quarter)].[All]" allUniqueName="[Table1].[HireDate (Quarter)].[All]" dimensionUniqueName="[Table1]" displayFolder="" count="2"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4367129627" backgroundQuery="1" createdVersion="8" refreshedVersion="8" minRefreshableVersion="3" recordCount="0" supportSubquery="1" supportAdvancedDrill="1" xr:uid="{C7BB4D3D-FE47-4EB6-8C46-581466A0DC5B}">
  <cacheSource type="external" connectionId="2"/>
  <cacheFields count="3">
    <cacheField name="[Measures].[Sum of Salary]" caption="Sum of Salary" numFmtId="0" hierarchy="16" level="32767"/>
    <cacheField name="[Table1].[Country].[Country]" caption="Country" numFmtId="0" hierarchy="7" level="1">
      <sharedItems count="6">
        <s v="Canada"/>
        <s v="France"/>
        <s v="Germany"/>
        <s v="India"/>
        <s v="UK"/>
        <s v="USA"/>
      </sharedItems>
    </cacheField>
    <cacheField name="[Table1].[JobTitle].[JobTitle]" caption="JobTitle" numFmtId="0" hierarchy="2" level="1">
      <sharedItems containsSemiMixedTypes="0" containsNonDate="0" containsString="0"/>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2" memberValueDatatype="130" unbalanced="0">
      <fieldsUsage count="2">
        <fieldUsage x="-1"/>
        <fieldUsage x="2"/>
      </fieldsUsage>
    </cacheHierarchy>
    <cacheHierarchy uniqueName="[Table1].[Department]" caption="Department" attribute="1" defaultMemberUniqueName="[Table1].[Department].[All]" allUniqueName="[Table1].[Department].[All]" dimensionUniqueName="[Table1]" displayFolder="" count="2"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792789352" backgroundQuery="1" createdVersion="8" refreshedVersion="8" minRefreshableVersion="3" recordCount="0" supportSubquery="1" supportAdvancedDrill="1" xr:uid="{5287FEEF-B99D-4AF4-9BFB-5093415E562D}">
  <cacheSource type="external" connectionId="2"/>
  <cacheFields count="2">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Measures].[Sum of YearsExperience]" caption="Sum of YearsExperience" numFmtId="0" hierarchy="17" level="32767"/>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79612384256" backgroundQuery="1" createdVersion="8" refreshedVersion="8" minRefreshableVersion="3" recordCount="0" supportSubquery="1" supportAdvancedDrill="1" xr:uid="{4A516D1C-7590-41AE-B1AA-2030C66EE237}">
  <cacheSource type="external" connectionId="2"/>
  <cacheFields count="3">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Table1].[Department].[Department]" caption="Department" numFmtId="0" hierarchy="3" level="1">
      <sharedItems count="1">
        <s v="Operations"/>
      </sharedItems>
    </cacheField>
    <cacheField name="[Measures].[Average of YearsExperience]" caption="Average of YearsExperience" numFmtId="0" hierarchy="18" level="32767"/>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81155439814" backgroundQuery="1" createdVersion="8" refreshedVersion="8" minRefreshableVersion="3" recordCount="0" supportSubquery="1" supportAdvancedDrill="1" xr:uid="{C358255C-BF00-4239-9A84-73C83E386D1E}">
  <cacheSource type="external" connectionId="2"/>
  <cacheFields count="3">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Table1].[Department].[Department]" caption="Department" numFmtId="0" hierarchy="3" level="1">
      <sharedItems count="6">
        <s v="Finance"/>
        <s v="HR"/>
        <s v="IT"/>
        <s v="Marketing"/>
        <s v="Operations"/>
        <s v="Sales"/>
      </sharedItems>
    </cacheField>
    <cacheField name="[Measures].[Average of Salary]" caption="Average of Salary" numFmtId="0" hierarchy="23" level="32767"/>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85094328705" backgroundQuery="1" createdVersion="8" refreshedVersion="8" minRefreshableVersion="3" recordCount="0" supportSubquery="1" supportAdvancedDrill="1" xr:uid="{1DAC5096-4A25-48B2-A3B0-27DD1F806B00}">
  <cacheSource type="external" connectionId="2"/>
  <cacheFields count="3">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Measures].[Count of EmpID]" caption="Count of EmpID" numFmtId="0" hierarchy="15" level="32767"/>
    <cacheField name="[Table1].[Country].[Country]" caption="Country" numFmtId="0" hierarchy="7" level="1">
      <sharedItems count="1">
        <s v="Canada"/>
      </sharedItems>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85847569445" backgroundQuery="1" createdVersion="8" refreshedVersion="8" minRefreshableVersion="3" recordCount="0" supportSubquery="1" supportAdvancedDrill="1" xr:uid="{5606397A-7ABE-40C8-94FE-F2DAA91B2E71}">
  <cacheSource type="external" connectionId="2"/>
  <cacheFields count="3">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Measures].[Count of EmpID]" caption="Count of EmpID" numFmtId="0" hierarchy="15" level="32767"/>
    <cacheField name="[Table1].[City].[City]" caption="City" numFmtId="0" hierarchy="8" level="1">
      <sharedItems count="3">
        <s v="Berlin"/>
        <s v="Paris"/>
        <s v="Toronto"/>
      </sharedItems>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87121875001" backgroundQuery="1" createdVersion="8" refreshedVersion="8" minRefreshableVersion="3" recordCount="0" supportSubquery="1" supportAdvancedDrill="1" xr:uid="{5A24935D-942D-43F1-9E81-C28584637E84}">
  <cacheSource type="external" connectionId="2"/>
  <cacheFields count="4">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Table1].[Department].[Department]" caption="Department" numFmtId="0" hierarchy="3" level="1">
      <sharedItems count="6">
        <s v="Finance"/>
        <s v="HR"/>
        <s v="IT"/>
        <s v="Marketing"/>
        <s v="Operations"/>
        <s v="Sales"/>
      </sharedItems>
    </cacheField>
    <cacheField name="[Measures].[Count of EmpID]" caption="Count of EmpID" numFmtId="0" hierarchy="15" level="32767"/>
    <cacheField name="[Table1].[Country].[Country]" caption="Country" numFmtId="0" hierarchy="7" level="1">
      <sharedItems count="6">
        <s v="Canada"/>
        <s v="India"/>
        <s v="USA"/>
        <s v="France"/>
        <s v="UK"/>
        <s v="Germany"/>
      </sharedItems>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811659027779" backgroundQuery="1" createdVersion="8" refreshedVersion="8" minRefreshableVersion="3" recordCount="0" supportSubquery="1" supportAdvancedDrill="1" xr:uid="{C4C04FB8-F71B-4CC5-A950-E5B043EE76E3}">
  <cacheSource type="external" connectionId="2"/>
  <cacheFields count="4">
    <cacheField name="[Table1].[FullName].[FullName]" caption="FullName" numFmtId="0" hierarchy="1" level="1">
      <sharedItems count="10">
        <s v="Alexander Hall"/>
        <s v="Daniel Perez"/>
        <s v="Daniel Scott"/>
        <s v="Emily Campbell"/>
        <s v="Henry Wright"/>
        <s v="James Johnson"/>
        <s v="John Brown"/>
        <s v="Laura Doe"/>
        <s v="Sofia Mitchell"/>
        <s v="William Davis"/>
      </sharedItems>
    </cacheField>
    <cacheField name="[Measures].[Sum of Salary]" caption="Sum of Salary" numFmtId="0" hierarchy="16" level="32767"/>
    <cacheField name="[Table1].[YearsExperience].[YearsExperience]" caption="YearsExperience" numFmtId="0" hierarchy="6" level="1">
      <sharedItems containsSemiMixedTypes="0" containsString="0" containsNumber="1" minValue="1.3" maxValue="15" count="30">
        <n v="1.3"/>
        <n v="2.1"/>
        <n v="2.5"/>
        <n v="3.1"/>
        <n v="3.3"/>
        <n v="3.9"/>
        <n v="4"/>
        <n v="4.5"/>
        <n v="5.2"/>
        <n v="5.4"/>
        <n v="5.7"/>
        <n v="6.1"/>
        <n v="6.9"/>
        <n v="7.3"/>
        <n v="7.7"/>
        <n v="8.1999999999999993"/>
        <n v="8.5"/>
        <n v="9.5"/>
        <n v="9.6999999999999993"/>
        <n v="9.9"/>
        <n v="10.199999999999999"/>
        <n v="11.1"/>
        <n v="11.4"/>
        <n v="12"/>
        <n v="12.7"/>
        <n v="13.1"/>
        <n v="14.2"/>
        <n v="14.6"/>
        <n v="14.8"/>
        <n v="15"/>
      </sharedItems>
    </cacheField>
    <cacheField name="[Table1].[Department].[Department]" caption="Department" numFmtId="0" hierarchy="3" level="1">
      <sharedItems count="6">
        <s v="Sales"/>
        <s v="Marketing"/>
        <s v="IT"/>
        <s v="HR"/>
        <s v="Finance"/>
        <s v="Operations"/>
      </sharedItems>
    </cacheField>
  </cacheFields>
  <cacheHierarchies count="24">
    <cacheHierarchy uniqueName="[Table1].[EmpID]" caption="EmpID" attribute="1" defaultMemberUniqueName="[Table1].[EmpID].[All]" allUniqueName="[Table1].[EmpID].[All]" dimensionUniqueName="[Table1]" displayFolder="" count="2"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2" memberValueDatatype="5" unbalanced="0"/>
    <cacheHierarchy uniqueName="[Table1].[YearsExperience]" caption="YearsExperience" attribute="1" defaultMemberUniqueName="[Table1].[YearsExperience].[All]" allUniqueName="[Table1].[YearsExperience].[All]" dimensionUniqueName="[Table1]" displayFolder="" count="2" memberValueDatatype="5"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812670601852" backgroundQuery="1" createdVersion="8" refreshedVersion="8" minRefreshableVersion="3" recordCount="0" supportSubquery="1" supportAdvancedDrill="1" xr:uid="{797A8065-94B6-4BA8-9436-097F15F89122}">
  <cacheSource type="external" connectionId="2"/>
  <cacheFields count="2">
    <cacheField name="[Table1].[FullName].[FullName]" caption="FullName" numFmtId="0" hierarchy="1" level="1">
      <sharedItems count="5">
        <s v="Charlotte King"/>
        <s v="Daniel Perez"/>
        <s v="Daniel Scott"/>
        <s v="James Johnson"/>
        <s v="Sofia Mitchell"/>
      </sharedItems>
    </cacheField>
    <cacheField name="[Measures].[Sum of Salary]" caption="Sum of Salary" numFmtId="0" hierarchy="16" level="32767"/>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81338472222" backgroundQuery="1" createdVersion="8" refreshedVersion="8" minRefreshableVersion="3" recordCount="0" supportSubquery="1" supportAdvancedDrill="1" xr:uid="{1353B35D-AFEC-4F41-94C5-4EE6EC1ACB68}">
  <cacheSource type="external" connectionId="2"/>
  <cacheFields count="3">
    <cacheField name="[Table1].[FullName].[FullName]" caption="FullName" numFmtId="0" hierarchy="1" level="1">
      <sharedItems count="5">
        <s v="Charlotte King"/>
        <s v="Daniel Perez"/>
        <s v="Daniel Scott"/>
        <s v="James Johnson"/>
        <s v="Sofia Mitchell"/>
      </sharedItems>
    </cacheField>
    <cacheField name="[Measures].[Sum of Salary]" caption="Sum of Salary" numFmtId="0" hierarchy="16" level="32767"/>
    <cacheField name="[Table1].[Department].[Department]" caption="Department" numFmtId="0" hierarchy="3" level="1">
      <sharedItems count="1">
        <s v="IT"/>
      </sharedItems>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814777662039" backgroundQuery="1" createdVersion="8" refreshedVersion="8" minRefreshableVersion="3" recordCount="0" supportSubquery="1" supportAdvancedDrill="1" xr:uid="{AA54F698-607E-4BD3-A07B-9AC1783262B7}">
  <cacheSource type="external" connectionId="2"/>
  <cacheFields count="4">
    <cacheField name="[Table1].[FullName].[FullName]" caption="FullName" numFmtId="0" hierarchy="1" level="1">
      <sharedItems count="5">
        <s v="Charlotte King"/>
        <s v="Daniel Perez"/>
        <s v="Daniel Scott"/>
        <s v="James Johnson"/>
        <s v="Sofia Mitchell"/>
      </sharedItems>
    </cacheField>
    <cacheField name="[Table1].[Department].[Department]" caption="Department" numFmtId="0" hierarchy="3" level="1">
      <sharedItems count="1">
        <s v="IT"/>
      </sharedItems>
    </cacheField>
    <cacheField name="[Measures].[Count of EmpID]" caption="Count of EmpID" numFmtId="0" hierarchy="15" level="32767"/>
    <cacheField name="[Table1].[JobTitle].[JobTitle]" caption="JobTitle" numFmtId="0" hierarchy="2" level="1">
      <sharedItems count="1">
        <s v="Developer"/>
      </sharedItems>
    </cacheField>
  </cacheFields>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2" memberValueDatatype="130" unbalanced="0">
      <fieldsUsage count="2">
        <fieldUsage x="-1"/>
        <fieldUsage x="0"/>
      </fieldsUsage>
    </cacheHierarchy>
    <cacheHierarchy uniqueName="[Table1].[JobTitle]" caption="JobTitle" attribute="1" defaultMemberUniqueName="[Table1].[JobTitle].[All]" allUniqueName="[Table1].[JobTitle].[All]" dimensionUniqueName="[Table1]" displayFolder="" count="2" memberValueDatatype="130" unbalanced="0">
      <fieldsUsage count="2">
        <fieldUsage x="-1"/>
        <fieldUsage x="3"/>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694008101855" backgroundQuery="1" createdVersion="3" refreshedVersion="8" minRefreshableVersion="3" recordCount="0" supportSubquery="1" supportAdvancedDrill="1" xr:uid="{E0CE0AD1-7963-4791-8D33-2755C72D9A9F}">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2"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Date (Year)]" caption="HireDate (Year)" attribute="1" defaultMemberUniqueName="[Table1].[HireDate (Year)].[All]" allUniqueName="[Table1].[HireDate (Year)].[All]" dimensionUniqueName="[Table1]" displayFolder="" count="0"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2"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43375332"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cent" refreshedDate="45940.745613888888" backgroundQuery="1" createdVersion="3" refreshedVersion="8" minRefreshableVersion="3" recordCount="0" supportSubquery="1" supportAdvancedDrill="1" xr:uid="{3BD5DAA5-13D7-4E71-8886-C6CBD7881688}">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able1].[EmpID]" caption="EmpID" attribute="1" defaultMemberUniqueName="[Table1].[EmpID].[All]" allUniqueName="[Table1].[EmpID].[All]" dimensionUniqueName="[Table1]" displayFolder="" count="0" memberValueDatatype="130" unbalanced="0"/>
    <cacheHierarchy uniqueName="[Table1].[FullName]" caption="FullName" attribute="1" defaultMemberUniqueName="[Table1].[FullName].[All]" allUniqueName="[Table1].[FullName].[All]" dimensionUniqueName="[Table1]" displayFolder="" count="0" memberValueDatatype="130" unbalanced="0"/>
    <cacheHierarchy uniqueName="[Table1].[JobTitle]" caption="JobTitle" attribute="1" defaultMemberUniqueName="[Table1].[JobTitle].[All]" allUniqueName="[Table1].[Job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Salary]" caption="Salary" attribute="1" defaultMemberUniqueName="[Table1].[Salary].[All]" allUniqueName="[Table1].[Salary].[All]" dimensionUniqueName="[Table1]" displayFolder="" count="0" memberValueDatatype="5" unbalanced="0"/>
    <cacheHierarchy uniqueName="[Table1].[YearsExperience]" caption="YearsExperience" attribute="1" defaultMemberUniqueName="[Table1].[YearsExperience].[All]" allUniqueName="[Table1].[YearsExperienc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HireDate (Year)]" caption="HireDate (Year)" attribute="1" defaultMemberUniqueName="[Table1].[HireDate (Year)].[All]" allUniqueName="[Table1].[HireDate (Year)].[All]" dimensionUniqueName="[Table1]" displayFolder="" count="2" memberValueDatatype="130" unbalanced="0"/>
    <cacheHierarchy uniqueName="[Table1].[HireDate (Quarter)]" caption="HireDate (Quarter)" attribute="1" defaultMemberUniqueName="[Table1].[HireDate (Quarter)].[All]" allUniqueName="[Table1].[HireDate (Quarter)].[All]" dimensionUniqueName="[Table1]" displayFolder="" count="0" memberValueDatatype="130" unbalanced="0"/>
    <cacheHierarchy uniqueName="[Table1].[HireDate (Month)]" caption="HireDate (Month)" attribute="1" defaultMemberUniqueName="[Table1].[HireDate (Month)].[All]" allUniqueName="[Table1].[HireDate (Month)].[All]" dimensionUniqueName="[Table1]" displayFolder="" count="0" memberValueDatatype="130" unbalanced="0"/>
    <cacheHierarchy uniqueName="[Table1].[HireDate (Month Index)]" caption="HireDate (Month Index)" attribute="1" defaultMemberUniqueName="[Table1].[HireDate (Month Index)].[All]" allUniqueName="[Table1].[Hire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5"/>
        </ext>
      </extLst>
    </cacheHierarchy>
    <cacheHierarchy uniqueName="[Measures].[Sum of YearsExperience]" caption="Sum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Average of YearsExperience]" caption="Average of YearsExperience" measure="1" displayFolder="" measureGroup="Table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Department]" caption="Distinct 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05042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D9635-D3DC-4C11-9F01-E0B19767B03F}" name="PivotTable10" cacheId="10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I47:J5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v="4"/>
    </i>
    <i>
      <x/>
    </i>
    <i>
      <x v="3"/>
    </i>
    <i t="grand">
      <x/>
    </i>
  </rowItems>
  <colItems count="1">
    <i/>
  </colItems>
  <dataFields count="1">
    <dataField name="Total Salary" fld="0" baseField="0" baseItem="0" numFmtId="168"/>
  </dataFields>
  <formats count="11">
    <format dxfId="241">
      <pivotArea outline="0" collapsedLevelsAreSubtotals="1" fieldPosition="0">
        <references count="1">
          <reference field="4294967294" count="1" selected="0">
            <x v="0"/>
          </reference>
        </references>
      </pivotArea>
    </format>
    <format dxfId="242">
      <pivotArea type="all" dataOnly="0" outline="0" fieldPosition="0"/>
    </format>
    <format dxfId="243">
      <pivotArea outline="0" collapsedLevelsAreSubtotals="1" fieldPosition="0"/>
    </format>
    <format dxfId="244">
      <pivotArea dataOnly="0" labelOnly="1" grandRow="1" outline="0" fieldPosition="0"/>
    </format>
    <format dxfId="245">
      <pivotArea dataOnly="0" labelOnly="1" outline="0" fieldPosition="0">
        <references count="1">
          <reference field="4294967294" count="1">
            <x v="0"/>
          </reference>
        </references>
      </pivotArea>
    </format>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dataOnly="0" labelOnly="1" outline="0" axis="axisValues" fieldPosition="0"/>
    </format>
  </formats>
  <chartFormats count="1">
    <chartFormat chart="3" format="7"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umbers of Staff"/>
    <pivotHierarchy dragToData="1" caption="Total Salary"/>
    <pivotHierarchy dragToData="1"/>
    <pivotHierarchy dragToData="1" caption="Average of YearsExperience"/>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filters count="1">
    <filter fld="1" type="count" id="1" iMeasureHier="1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902C5B-F8BD-407F-8AB7-12316FDAD630}" name="PivotTable9" cacheId="10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48:C52" firstHeaderRow="1" firstDataRow="1" firstDataCol="1"/>
  <pivotFields count="5">
    <pivotField allDrilled="1" subtotalTop="0" showAll="0" measureFilter="1" defaultSubtotal="0" defaultAttributeDrillState="1">
      <items count="3">
        <item x="0"/>
        <item x="1"/>
        <item x="2"/>
      </items>
    </pivotField>
    <pivotField allDrilled="1" subtotalTop="0" showAll="0" measureFilter="1" dataSourceSort="1" defaultSubtotal="0" defaultAttributeDrillState="1">
      <items count="3">
        <item x="0"/>
        <item x="1"/>
        <item x="2"/>
      </items>
    </pivotField>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4">
    <i>
      <x v="1"/>
    </i>
    <i>
      <x/>
    </i>
    <i>
      <x v="2"/>
    </i>
    <i t="grand">
      <x/>
    </i>
  </rowItems>
  <colItems count="1">
    <i/>
  </colItems>
  <dataFields count="1">
    <dataField name="Sum of YearsExperience" fld="2" baseField="0" baseItem="0"/>
  </dataFields>
  <formats count="9">
    <format dxfId="256">
      <pivotArea type="all" dataOnly="0" outline="0" fieldPosition="0"/>
    </format>
    <format dxfId="257">
      <pivotArea outline="0" collapsedLevelsAreSubtotals="1" fieldPosition="0"/>
    </format>
    <format dxfId="258">
      <pivotArea dataOnly="0" labelOnly="1" grandRow="1" outline="0" fieldPosition="0"/>
    </format>
    <format dxfId="255">
      <pivotArea type="all" dataOnly="0" outline="0" fieldPosition="0"/>
    </format>
    <format dxfId="254">
      <pivotArea outline="0" collapsedLevelsAreSubtotals="1" fieldPosition="0"/>
    </format>
    <format dxfId="253">
      <pivotArea field="3" type="button" dataOnly="0" labelOnly="1" outline="0" axis="axisRow" fieldPosition="0"/>
    </format>
    <format dxfId="252">
      <pivotArea dataOnly="0" labelOnly="1" fieldPosition="0">
        <references count="1">
          <reference field="3" count="0"/>
        </references>
      </pivotArea>
    </format>
    <format dxfId="251">
      <pivotArea dataOnly="0" labelOnly="1" grandRow="1" outline="0" fieldPosition="0"/>
    </format>
    <format dxfId="250">
      <pivotArea dataOnly="0" labelOnly="1" outline="0" axis="axisValues"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o.of Employee"/>
    <pivotHierarchy dragToData="1" caption="Total Salary"/>
    <pivotHierarchy dragToData="1"/>
    <pivotHierarchy dragToData="1" caption="Avg Years of Exp."/>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filters count="3">
    <filter fld="3" type="valueLessThan" id="4" iMeasureHier="17">
      <autoFilter ref="A1">
        <filterColumn colId="0">
          <customFilters>
            <customFilter operator="lessThan" val="3"/>
          </customFilters>
        </filterColumn>
      </autoFilter>
    </filter>
    <filter fld="0" type="count" id="1" iMeasureHier="15">
      <autoFilter ref="A1">
        <filterColumn colId="0">
          <top10 val="3" filterVal="3"/>
        </filterColumn>
      </autoFilter>
    </filter>
    <filter fld="1" type="valueLessThan" id="2" iMeasureHier="17">
      <autoFilter ref="A1">
        <filterColumn colId="0">
          <customFilters>
            <customFilter operator="lessThan" val="3"/>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D23CC-3562-4A2B-B675-6365EB776BAA}" name="PivotTable8" cacheId="10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I37:J41" firstHeaderRow="1" firstDataRow="1" firstDataCol="1"/>
  <pivotFields count="4">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Sum of YearsExperience" fld="2" baseField="0" baseItem="0"/>
  </dataFields>
  <formats count="14">
    <format dxfId="265">
      <pivotArea type="all" dataOnly="0" outline="0" fieldPosition="0"/>
    </format>
    <format dxfId="266">
      <pivotArea outline="0" collapsedLevelsAreSubtotals="1" fieldPosition="0"/>
    </format>
    <format dxfId="267">
      <pivotArea field="0" type="button" dataOnly="0" labelOnly="1" outline="0" axis="axisRow" fieldPosition="0"/>
    </format>
    <format dxfId="268">
      <pivotArea dataOnly="0" labelOnly="1" grandRow="1" outline="0" fieldPosition="0"/>
    </format>
    <format dxfId="269">
      <pivotArea type="all" dataOnly="0" outline="0" fieldPosition="0"/>
    </format>
    <format dxfId="270">
      <pivotArea outline="0" collapsedLevelsAreSubtotals="1" fieldPosition="0"/>
    </format>
    <format dxfId="271">
      <pivotArea field="1" type="button" dataOnly="0" labelOnly="1" outline="0"/>
    </format>
    <format dxfId="272">
      <pivotArea dataOnly="0" labelOnly="1" grandRow="1" outline="0" fieldPosition="0"/>
    </format>
    <format dxfId="264">
      <pivotArea type="all" dataOnly="0" outline="0" fieldPosition="0"/>
    </format>
    <format dxfId="263">
      <pivotArea outline="0" collapsedLevelsAreSubtotals="1" fieldPosition="0"/>
    </format>
    <format dxfId="262">
      <pivotArea field="0" type="button" dataOnly="0" labelOnly="1" outline="0" axis="axisRow" fieldPosition="0"/>
    </format>
    <format dxfId="261">
      <pivotArea dataOnly="0" labelOnly="1" fieldPosition="0">
        <references count="1">
          <reference field="0" count="0"/>
        </references>
      </pivotArea>
    </format>
    <format dxfId="260">
      <pivotArea dataOnly="0" labelOnly="1" grandRow="1" outline="0" fieldPosition="0"/>
    </format>
    <format dxfId="259">
      <pivotArea dataOnly="0" labelOnly="1" outline="0" axis="axisValues"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o.of Employee"/>
    <pivotHierarchy dragToData="1" caption="Total Salary"/>
    <pivotHierarchy dragToData="1"/>
    <pivotHierarchy dragToData="1" caption="Avg Years of Exp."/>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filters count="2">
    <filter fld="1" type="count" id="1" iMeasureHier="15">
      <autoFilter ref="A1">
        <filterColumn colId="0">
          <top10 val="3" filterVal="3"/>
        </filterColumn>
      </autoFilter>
    </filter>
    <filter fld="0" type="count" id="2" iMeasureHier="17">
      <autoFilter ref="A1">
        <filterColumn colId="0">
          <top10 top="0" val="3" filterVal="3"/>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B668A-296A-4AE8-9D3A-1942CD7A94F9}" name="PivotTable7" cacheId="10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39:D43" firstHeaderRow="0" firstDataRow="1" firstDataCol="1"/>
  <pivotFields count="5">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No.of Employee" fld="1" subtotal="count" baseField="0" baseItem="3"/>
    <dataField name="Sum of Salary" fld="3" baseField="0" baseItem="0" numFmtId="168"/>
  </dataFields>
  <formats count="11">
    <format dxfId="280">
      <pivotArea type="all" dataOnly="0" outline="0" fieldPosition="0"/>
    </format>
    <format dxfId="281">
      <pivotArea outline="0" collapsedLevelsAreSubtotals="1" fieldPosition="0"/>
    </format>
    <format dxfId="282">
      <pivotArea field="0" type="button" dataOnly="0" labelOnly="1" outline="0"/>
    </format>
    <format dxfId="283">
      <pivotArea dataOnly="0" labelOnly="1" grandRow="1" outline="0" fieldPosition="0"/>
    </format>
    <format dxfId="279">
      <pivotArea outline="0" collapsedLevelsAreSubtotals="1" fieldPosition="0">
        <references count="1">
          <reference field="4294967294" count="1" selected="0">
            <x v="1"/>
          </reference>
        </references>
      </pivotArea>
    </format>
    <format dxfId="278">
      <pivotArea type="all" dataOnly="0" outline="0" fieldPosition="0"/>
    </format>
    <format dxfId="277">
      <pivotArea outline="0" collapsedLevelsAreSubtotals="1" fieldPosition="0"/>
    </format>
    <format dxfId="276">
      <pivotArea field="2" type="button" dataOnly="0" labelOnly="1" outline="0" axis="axisRow" fieldPosition="0"/>
    </format>
    <format dxfId="275">
      <pivotArea dataOnly="0" labelOnly="1" fieldPosition="0">
        <references count="1">
          <reference field="2" count="0"/>
        </references>
      </pivotArea>
    </format>
    <format dxfId="274">
      <pivotArea dataOnly="0" labelOnly="1" grandRow="1" outline="0" fieldPosition="0"/>
    </format>
    <format dxfId="273">
      <pivotArea dataOnly="0" labelOnly="1" outline="0" fieldPosition="0">
        <references count="1">
          <reference field="4294967294" count="2">
            <x v="0"/>
            <x v="1"/>
          </reference>
        </references>
      </pivotArea>
    </format>
  </formats>
  <chartFormats count="1">
    <chartFormat chart="15"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o.of Employee"/>
    <pivotHierarchy dragToData="1" caption="Total Salary"/>
    <pivotHierarchy dragToData="1"/>
    <pivotHierarchy dragToData="1" caption="Avg Years of Exp."/>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filters count="1">
    <filter fld="2" type="count" id="1" iMeasureHier="15">
      <autoFilter ref="A1">
        <filterColumn colId="0">
          <top10 val="3" filterVal="3"/>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B66680-9DE6-475E-88EB-953E6C78C2F2}" name="PivotTable6" cacheId="10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23:J30"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i>
    <i>
      <x v="3"/>
    </i>
    <i>
      <x v="4"/>
    </i>
    <i>
      <x v="1"/>
    </i>
    <i>
      <x v="2"/>
    </i>
    <i t="grand">
      <x/>
    </i>
  </rowItems>
  <colItems count="1">
    <i/>
  </colItems>
  <dataFields count="1">
    <dataField name="Total Salary" fld="0" baseField="0" baseItem="0" numFmtId="168"/>
  </dataFields>
  <formats count="9">
    <format dxfId="284">
      <pivotArea outline="0" collapsedLevelsAreSubtotals="1" fieldPosition="0">
        <references count="1">
          <reference field="4294967294" count="1" selected="0">
            <x v="0"/>
          </reference>
        </references>
      </pivotArea>
    </format>
    <format dxfId="285">
      <pivotArea type="all" dataOnly="0" outline="0" fieldPosition="0"/>
    </format>
    <format dxfId="286">
      <pivotArea outline="0" collapsedLevelsAreSubtotals="1" fieldPosition="0"/>
    </format>
    <format dxfId="287">
      <pivotArea dataOnly="0" labelOnly="1" grandRow="1" outline="0" fieldPosition="0"/>
    </format>
    <format dxfId="288">
      <pivotArea dataOnly="0" labelOnly="1" outline="0" fieldPosition="0">
        <references count="1">
          <reference field="4294967294" count="1">
            <x v="0"/>
          </reference>
        </references>
      </pivotArea>
    </format>
    <format dxfId="234">
      <pivotArea collapsedLevelsAreSubtotals="1" fieldPosition="0">
        <references count="1">
          <reference field="1" count="2">
            <x v="0"/>
            <x v="5"/>
          </reference>
        </references>
      </pivotArea>
    </format>
    <format dxfId="233">
      <pivotArea field="1" type="button" dataOnly="0" labelOnly="1" outline="0" axis="axisRow" fieldPosition="0"/>
    </format>
    <format dxfId="232">
      <pivotArea dataOnly="0" labelOnly="1" fieldPosition="0">
        <references count="1">
          <reference field="1" count="2">
            <x v="0"/>
            <x v="5"/>
          </reference>
        </references>
      </pivotArea>
    </format>
    <format dxfId="231">
      <pivotArea dataOnly="0" labelOnly="1" outline="0" axis="axisValues" fieldPosition="0"/>
    </format>
  </formats>
  <chartFormats count="2">
    <chartFormat chart="3" format="7"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umbers of Staff"/>
    <pivotHierarchy dragToData="1" caption="Total Salary"/>
    <pivotHierarchy dragToData="1"/>
    <pivotHierarchy dragToData="1" caption="Average of YearsExperience"/>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87A3B-4320-4818-BCF2-DF2B66867544}" name="PivotTable5" cacheId="10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27:D34" firstHeaderRow="0" firstDataRow="1" firstDataCol="1"/>
  <pivotFields count="4">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4"/>
    </i>
    <i>
      <x v="1"/>
    </i>
    <i>
      <x/>
    </i>
    <i>
      <x v="3"/>
    </i>
    <i>
      <x v="5"/>
    </i>
    <i>
      <x v="2"/>
    </i>
    <i t="grand">
      <x/>
    </i>
  </rowItems>
  <colFields count="1">
    <field x="-2"/>
  </colFields>
  <colItems count="2">
    <i>
      <x/>
    </i>
    <i i="1">
      <x v="1"/>
    </i>
  </colItems>
  <dataFields count="2">
    <dataField name="No.of Employee" fld="1" subtotal="count" baseField="0" baseItem="3"/>
    <dataField name="Avg Years of Exp." fld="2" subtotal="average" baseField="0" baseItem="3" numFmtId="165"/>
  </dataFields>
  <formats count="6">
    <format dxfId="290">
      <pivotArea type="all" dataOnly="0" outline="0" fieldPosition="0"/>
    </format>
    <format dxfId="291">
      <pivotArea outline="0" collapsedLevelsAreSubtotals="1" fieldPosition="0"/>
    </format>
    <format dxfId="292">
      <pivotArea field="0" type="button" dataOnly="0" labelOnly="1" outline="0" axis="axisRow" fieldPosition="0"/>
    </format>
    <format dxfId="293">
      <pivotArea dataOnly="0" labelOnly="1" fieldPosition="0">
        <references count="1">
          <reference field="0" count="0"/>
        </references>
      </pivotArea>
    </format>
    <format dxfId="294">
      <pivotArea dataOnly="0" labelOnly="1" grandRow="1" outline="0" fieldPosition="0"/>
    </format>
    <format dxfId="289">
      <pivotArea outline="0" collapsedLevelsAreSubtotals="1" fieldPosition="0">
        <references count="1">
          <reference field="4294967294" count="1" selected="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o.of Employee"/>
    <pivotHierarchy dragToData="1" caption="Total Salary"/>
    <pivotHierarchy dragToData="1"/>
    <pivotHierarchy dragToData="1" caption="Avg Years of Exp."/>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6C4694-E464-4CE2-B8C9-2B6AC8F31FE0}" name="PivotTable3" cacheId="10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I6:J18"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Numbers of Staff" fld="0" subtotal="count" baseField="0" baseItem="0"/>
  </dataFields>
  <formats count="8">
    <format dxfId="295">
      <pivotArea type="all" dataOnly="0" outline="0" fieldPosition="0"/>
    </format>
    <format dxfId="296">
      <pivotArea outline="0" collapsedLevelsAreSubtotals="1" fieldPosition="0"/>
    </format>
    <format dxfId="297">
      <pivotArea dataOnly="0" labelOnly="1" grandRow="1" outline="0" fieldPosition="0"/>
    </format>
    <format dxfId="298">
      <pivotArea dataOnly="0" labelOnly="1" outline="0" fieldPosition="0">
        <references count="1">
          <reference field="4294967294" count="1">
            <x v="0"/>
          </reference>
        </references>
      </pivotArea>
    </format>
    <format dxfId="249">
      <pivotArea collapsedLevelsAreSubtotals="1" fieldPosition="0">
        <references count="1">
          <reference field="1" count="0"/>
        </references>
      </pivotArea>
    </format>
    <format dxfId="248">
      <pivotArea field="1" type="button" dataOnly="0" labelOnly="1" outline="0" axis="axisRow" fieldPosition="0"/>
    </format>
    <format dxfId="247">
      <pivotArea dataOnly="0" labelOnly="1" fieldPosition="0">
        <references count="1">
          <reference field="1" count="0"/>
        </references>
      </pivotArea>
    </format>
    <format dxfId="24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umbers of Staff"/>
    <pivotHierarchy dragToData="1" caption="Total Salary"/>
    <pivotHierarchy dragToData="1"/>
    <pivotHierarchy dragToData="1" caption="Average of YearsExperience"/>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23FBFC-9634-46C9-B8E6-C31A1A17A3FB}" name="PivotTable2" cacheId="10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14:D21" firstHeaderRow="0" firstDataRow="1" firstDataCol="1"/>
  <pivotFields count="4">
    <pivotField axis="axisRow" allDrilled="1" subtotalTop="0" showAll="0" defaultSubtotal="0" defaultAttributeDrillState="1">
      <items count="6">
        <item x="3"/>
        <item x="0"/>
        <item x="1"/>
        <item x="2"/>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Total Salary" fld="1" baseField="0" baseItem="0" numFmtId="168"/>
    <dataField name="Average Salary" fld="2" subtotal="average" baseField="0" baseItem="0" numFmtId="168"/>
  </dataFields>
  <formats count="7">
    <format dxfId="222">
      <pivotArea outline="0" collapsedLevelsAreSubtotals="1" fieldPosition="0">
        <references count="1">
          <reference field="4294967294" count="2" selected="0">
            <x v="0"/>
            <x v="1"/>
          </reference>
        </references>
      </pivotArea>
    </format>
    <format dxfId="223">
      <pivotArea type="all" dataOnly="0" outline="0" fieldPosition="0"/>
    </format>
    <format dxfId="224">
      <pivotArea outline="0" collapsedLevelsAreSubtotals="1" fieldPosition="0"/>
    </format>
    <format dxfId="225">
      <pivotArea field="0" type="button" dataOnly="0" labelOnly="1" outline="0" axis="axisRow" fieldPosition="0"/>
    </format>
    <format dxfId="226">
      <pivotArea dataOnly="0" labelOnly="1" fieldPosition="0">
        <references count="1">
          <reference field="0" count="0"/>
        </references>
      </pivotArea>
    </format>
    <format dxfId="227">
      <pivotArea dataOnly="0" labelOnly="1" grandRow="1" outline="0" fieldPosition="0"/>
    </format>
    <format dxfId="228">
      <pivotArea dataOnly="0" labelOnly="1" outline="0" fieldPosition="0">
        <references count="1">
          <reference field="4294967294" count="2">
            <x v="0"/>
            <x v="1"/>
          </reference>
        </references>
      </pivotArea>
    </format>
  </formats>
  <chartFormats count="2">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Numbers of Staff"/>
    <pivotHierarchy dragToData="1" caption="Total Salary"/>
    <pivotHierarchy dragToData="1"/>
    <pivotHierarchy dragToData="1" caption="Average of YearsExperience"/>
    <pivotHierarchy dragToData="1"/>
    <pivotHierarchy dragToData="1" caption="Distinct Count of Department"/>
    <pivotHierarchy dragToData="1"/>
    <pivotHierarchy dragToData="1" caption="Distinct Count of Country"/>
    <pivotHierarchy dragToData="1" caption="Average Salar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F67E50-78D2-4599-8058-2D4087F93629}" name="PivotTable1" cacheId="10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EmpID" fld="0" subtotal="count" baseField="0" baseItem="0"/>
    <dataField name="Average of Salary" fld="3" subtotal="average" baseField="0" baseItem="1"/>
    <dataField name="Average of YearsExperience" fld="1" subtotal="average" baseField="0" baseItem="1"/>
    <dataField name="Distinct Count of Department" fld="2" subtotal="count" baseField="0" baseItem="2">
      <extLst>
        <ext xmlns:x15="http://schemas.microsoft.com/office/spreadsheetml/2010/11/main" uri="{FABC7310-3BB5-11E1-824E-6D434824019B}">
          <x15:dataField isCountDistinct="1"/>
        </ext>
      </extLst>
    </dataField>
  </dataFields>
  <pivotHierarchies count="2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YearsExperience"/>
    <pivotHierarchy dragToData="1"/>
    <pivotHierarchy dragToData="1" caption="Distinct Count of Department"/>
    <pivotHierarchy dragToData="1"/>
    <pivotHierarchy dragToData="1" caption="Distinct Count of Country"/>
    <pivotHierarchy dragToData="1" caption="Average of Salar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52F28-8E41-4F2C-8914-31D80D7B0CE0}" name="PivotTable22" cacheId="13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4:N26" firstHeaderRow="1" firstDataRow="1" firstDataCol="1"/>
  <pivotFields count="4">
    <pivotField allDrilled="1" subtotalTop="0" showAll="0" measureFilter="1" defaultSubtotal="0" defaultAttributeDrillState="1">
      <items count="5">
        <item x="1"/>
        <item x="2"/>
        <item x="3"/>
        <item x="4"/>
        <item x="0"/>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s>
  <rowFields count="1">
    <field x="3"/>
  </rowFields>
  <rowItems count="2">
    <i>
      <x/>
    </i>
    <i t="grand">
      <x/>
    </i>
  </rowItems>
  <colItems count="1">
    <i/>
  </colItems>
  <dataFields count="1">
    <dataField name="Count of EmpID" fld="2" subtotal="count" baseField="0" baseItem="0"/>
  </dataFields>
  <formats count="6">
    <format dxfId="38">
      <pivotArea type="all" dataOnly="0" outline="0" fieldPosition="0"/>
    </format>
    <format dxfId="39">
      <pivotArea outline="0" collapsedLevelsAreSubtotals="1" fieldPosition="0"/>
    </format>
    <format dxfId="40">
      <pivotArea field="0" type="button" dataOnly="0" labelOnly="1" outline="0"/>
    </format>
    <format dxfId="41">
      <pivotArea dataOnly="0" labelOnly="1" grandRow="1" outline="0" fieldPosition="0"/>
    </format>
    <format dxfId="42">
      <pivotArea dataOnly="0" labelOnly="1" outline="0" axis="axisValues" fieldPosition="0"/>
    </format>
    <format dxfId="43">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3">
    <filter fld="0" type="count" id="2" iMeasureHier="16">
      <autoFilter ref="A1">
        <filterColumn colId="0">
          <top10 val="5" filterVal="5"/>
        </filterColumn>
      </autoFilter>
    </filter>
    <filter fld="1" type="count" id="3" iMeasureHier="16">
      <autoFilter ref="A1">
        <filterColumn colId="0">
          <top10 val="1" filterVal="1"/>
        </filterColumn>
      </autoFilter>
    </filter>
    <filter fld="3" type="count" id="4" iMeasureHier="1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4E60E8-16B7-4B7B-A5AC-8BA9ABE65E35}" name="PivotTable21" cacheId="1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N17" firstHeaderRow="1" firstDataRow="1" firstDataCol="1"/>
  <pivotFields count="3">
    <pivotField allDrilled="1" subtotalTop="0" showAll="0" measureFilter="1" defaultSubtotal="0" defaultAttributeDrillState="1">
      <items count="5">
        <item x="1"/>
        <item x="2"/>
        <item x="3"/>
        <item x="4"/>
        <item x="0"/>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2">
    <i>
      <x/>
    </i>
    <i t="grand">
      <x/>
    </i>
  </rowItems>
  <colItems count="1">
    <i/>
  </colItems>
  <dataFields count="1">
    <dataField name="Sum of Salary" fld="1" baseField="0" baseItem="0"/>
  </dataFields>
  <formats count="6">
    <format dxfId="62">
      <pivotArea type="all" dataOnly="0" outline="0" fieldPosition="0"/>
    </format>
    <format dxfId="63">
      <pivotArea outline="0" collapsedLevelsAreSubtotals="1" fieldPosition="0"/>
    </format>
    <format dxfId="64">
      <pivotArea field="0" type="button" dataOnly="0" labelOnly="1" outline="0"/>
    </format>
    <format dxfId="65">
      <pivotArea dataOnly="0" labelOnly="1" grandRow="1" outline="0" fieldPosition="0"/>
    </format>
    <format dxfId="66">
      <pivotArea dataOnly="0" labelOnly="1" outline="0" axis="axisValues" fieldPosition="0"/>
    </format>
    <format dxfId="67">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2">
    <filter fld="0" type="count" id="2" iMeasureHier="16">
      <autoFilter ref="A1">
        <filterColumn colId="0">
          <top10 val="5" filterVal="5"/>
        </filterColumn>
      </autoFilter>
    </filter>
    <filter fld="2" type="count" id="3" iMeasureHier="16">
      <autoFilter ref="A1">
        <filterColumn colId="0">
          <top1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F370D6-E6D9-415A-B329-0B904285DE4C}" name="PivotTable20" cacheId="12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2">
    <pivotField axis="axisRow" allDrilled="1" subtotalTop="0" showAll="0" measureFilter="1" defaultSubtotal="0" defaultAttributeDrillState="1">
      <items count="5">
        <item x="1"/>
        <item x="2"/>
        <item x="3"/>
        <item x="4"/>
        <item x="0"/>
      </items>
    </pivotField>
    <pivotField dataField="1" subtotalTop="0" showAll="0" defaultSubtotal="0"/>
  </pivotFields>
  <rowFields count="1">
    <field x="0"/>
  </rowFields>
  <rowItems count="6">
    <i>
      <x/>
    </i>
    <i>
      <x v="1"/>
    </i>
    <i>
      <x v="2"/>
    </i>
    <i>
      <x v="3"/>
    </i>
    <i>
      <x v="4"/>
    </i>
    <i t="grand">
      <x/>
    </i>
  </rowItems>
  <colItems count="1">
    <i/>
  </colItems>
  <dataFields count="1">
    <dataField name="Sum of Salary" fld="1" baseField="0" baseItem="0"/>
  </dataFields>
  <formats count="6">
    <format dxfId="98">
      <pivotArea type="all" dataOnly="0" outline="0" fieldPosition="0"/>
    </format>
    <format dxfId="99">
      <pivotArea outline="0" collapsedLevelsAreSubtotals="1" fieldPosition="0"/>
    </format>
    <format dxfId="100">
      <pivotArea field="0" type="button" dataOnly="0" labelOnly="1" outline="0" axis="axisRow" fieldPosition="0"/>
    </format>
    <format dxfId="101">
      <pivotArea dataOnly="0" labelOnly="1" grandRow="1" outline="0" fieldPosition="0"/>
    </format>
    <format dxfId="102">
      <pivotArea dataOnly="0" labelOnly="1" outline="0" axis="axisValues" fieldPosition="0"/>
    </format>
    <format dxfId="103">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1">
    <filter fld="0" type="count" id="2" iMeasureHier="1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0314D2-530A-4D51-B2FE-E819BA922797}" name="PivotTable19" cacheId="12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C45:D10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6">
        <item x="0"/>
        <item x="1"/>
        <item x="2"/>
        <item x="3"/>
        <item x="4"/>
        <item x="5"/>
      </items>
    </pivotField>
  </pivotFields>
  <rowFields count="2">
    <field x="2"/>
    <field x="3"/>
  </rowFields>
  <rowItems count="61">
    <i>
      <x/>
    </i>
    <i r="1">
      <x/>
    </i>
    <i>
      <x v="1"/>
    </i>
    <i r="1">
      <x v="1"/>
    </i>
    <i>
      <x v="2"/>
    </i>
    <i r="1">
      <x v="2"/>
    </i>
    <i>
      <x v="3"/>
    </i>
    <i r="1">
      <x/>
    </i>
    <i>
      <x v="4"/>
    </i>
    <i r="1">
      <x v="2"/>
    </i>
    <i>
      <x v="5"/>
    </i>
    <i r="1">
      <x/>
    </i>
    <i>
      <x v="6"/>
    </i>
    <i r="1">
      <x v="3"/>
    </i>
    <i>
      <x v="7"/>
    </i>
    <i r="1">
      <x v="2"/>
    </i>
    <i>
      <x v="8"/>
    </i>
    <i r="1">
      <x v="1"/>
    </i>
    <i>
      <x v="9"/>
    </i>
    <i r="1">
      <x v="2"/>
    </i>
    <i>
      <x v="10"/>
    </i>
    <i r="1">
      <x v="2"/>
    </i>
    <i>
      <x v="11"/>
    </i>
    <i r="1">
      <x v="1"/>
    </i>
    <i>
      <x v="12"/>
    </i>
    <i r="1">
      <x v="3"/>
    </i>
    <i>
      <x v="13"/>
    </i>
    <i r="1">
      <x v="4"/>
    </i>
    <i>
      <x v="14"/>
    </i>
    <i r="1">
      <x v="4"/>
    </i>
    <i>
      <x v="15"/>
    </i>
    <i r="1">
      <x/>
    </i>
    <i>
      <x v="16"/>
    </i>
    <i r="1">
      <x v="2"/>
    </i>
    <i>
      <x v="17"/>
    </i>
    <i r="1">
      <x v="1"/>
    </i>
    <i>
      <x v="18"/>
    </i>
    <i r="1">
      <x v="4"/>
    </i>
    <i>
      <x v="19"/>
    </i>
    <i r="1">
      <x v="3"/>
    </i>
    <i>
      <x v="20"/>
    </i>
    <i r="1">
      <x/>
    </i>
    <i>
      <x v="21"/>
    </i>
    <i r="1">
      <x v="2"/>
    </i>
    <i>
      <x v="22"/>
    </i>
    <i r="1">
      <x v="5"/>
    </i>
    <i>
      <x v="23"/>
    </i>
    <i r="1">
      <x v="2"/>
    </i>
    <i>
      <x v="24"/>
    </i>
    <i r="1">
      <x v="1"/>
    </i>
    <i>
      <x v="25"/>
    </i>
    <i r="1">
      <x v="4"/>
    </i>
    <i>
      <x v="26"/>
    </i>
    <i r="1">
      <x v="3"/>
    </i>
    <i>
      <x v="27"/>
    </i>
    <i r="1">
      <x v="5"/>
    </i>
    <i>
      <x v="28"/>
    </i>
    <i r="1">
      <x v="2"/>
    </i>
    <i>
      <x v="29"/>
    </i>
    <i r="1">
      <x v="4"/>
    </i>
    <i t="grand">
      <x/>
    </i>
  </rowItems>
  <colItems count="1">
    <i/>
  </colItems>
  <dataFields count="1">
    <dataField name="Sum of Salary" fld="1" baseField="0" baseItem="0"/>
  </dataFields>
  <formats count="6">
    <format dxfId="128">
      <pivotArea type="all" dataOnly="0" outline="0" fieldPosition="0"/>
    </format>
    <format dxfId="129">
      <pivotArea outline="0" collapsedLevelsAreSubtotals="1" fieldPosition="0"/>
    </format>
    <format dxfId="130">
      <pivotArea field="0" type="button" dataOnly="0" labelOnly="1" outline="0"/>
    </format>
    <format dxfId="131">
      <pivotArea dataOnly="0" labelOnly="1" grandRow="1" outline="0" fieldPosition="0"/>
    </format>
    <format dxfId="132">
      <pivotArea dataOnly="0" labelOnly="1" outline="0" axis="axisValues" fieldPosition="0"/>
    </format>
    <format dxfId="13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1">
    <filter fld="0" type="valueGreaterThan" id="1" iMeasureHier="17">
      <autoFilter ref="A1">
        <filterColumn colId="0">
          <customFilters>
            <customFilter operator="greaterThan" val="10"/>
          </customFilters>
        </filterColumn>
      </autoFilter>
    </filter>
  </filters>
  <rowHierarchiesUsage count="2">
    <rowHierarchyUsage hierarchyUsage="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C451BA-22B9-4866-AC02-2674506C8B67}" name="PivotTable18" cacheId="1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I3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1"/>
    <field x="3"/>
  </rowFields>
  <rowItems count="22">
    <i>
      <x/>
    </i>
    <i r="1">
      <x/>
    </i>
    <i r="1">
      <x v="1"/>
    </i>
    <i>
      <x v="1"/>
    </i>
    <i r="1">
      <x/>
    </i>
    <i r="1">
      <x v="2"/>
    </i>
    <i>
      <x v="2"/>
    </i>
    <i r="1">
      <x v="3"/>
    </i>
    <i r="1">
      <x v="1"/>
    </i>
    <i r="1">
      <x v="4"/>
    </i>
    <i r="1">
      <x v="2"/>
    </i>
    <i>
      <x v="3"/>
    </i>
    <i r="1">
      <x v="3"/>
    </i>
    <i r="1">
      <x v="5"/>
    </i>
    <i r="1">
      <x v="4"/>
    </i>
    <i>
      <x v="4"/>
    </i>
    <i r="1">
      <x v="2"/>
    </i>
    <i>
      <x v="5"/>
    </i>
    <i r="1">
      <x/>
    </i>
    <i r="1">
      <x v="5"/>
    </i>
    <i r="1">
      <x v="4"/>
    </i>
    <i t="grand">
      <x/>
    </i>
  </rowItems>
  <colItems count="1">
    <i/>
  </colItems>
  <dataFields count="1">
    <dataField name="Count of EmpID" fld="2" subtotal="count" baseField="0" baseItem="0"/>
  </dataFields>
  <formats count="13">
    <format dxfId="189">
      <pivotArea type="all" dataOnly="0" outline="0" fieldPosition="0"/>
    </format>
    <format dxfId="190">
      <pivotArea outline="0" collapsedLevelsAreSubtotals="1" fieldPosition="0"/>
    </format>
    <format dxfId="191">
      <pivotArea field="0" type="button" dataOnly="0" labelOnly="1" outline="0"/>
    </format>
    <format dxfId="192">
      <pivotArea dataOnly="0" labelOnly="1" grandRow="1" outline="0" fieldPosition="0"/>
    </format>
    <format dxfId="193">
      <pivotArea dataOnly="0" labelOnly="1" outline="0" axis="axisValues" fieldPosition="0"/>
    </format>
    <format dxfId="194">
      <pivotArea outline="0" collapsedLevelsAreSubtotals="1" fieldPosition="0"/>
    </format>
    <format dxfId="176">
      <pivotArea collapsedLevelsAreSubtotals="1" fieldPosition="0">
        <references count="1">
          <reference field="1" count="1">
            <x v="0"/>
          </reference>
        </references>
      </pivotArea>
    </format>
    <format dxfId="175">
      <pivotArea collapsedLevelsAreSubtotals="1" fieldPosition="0">
        <references count="2">
          <reference field="1" count="1" selected="0">
            <x v="0"/>
          </reference>
          <reference field="3" count="2">
            <x v="0"/>
            <x v="1"/>
          </reference>
        </references>
      </pivotArea>
    </format>
    <format dxfId="174">
      <pivotArea collapsedLevelsAreSubtotals="1" fieldPosition="0">
        <references count="1">
          <reference field="1" count="1">
            <x v="1"/>
          </reference>
        </references>
      </pivotArea>
    </format>
    <format dxfId="173">
      <pivotArea field="1" type="button" dataOnly="0" labelOnly="1" outline="0" axis="axisRow" fieldPosition="0"/>
    </format>
    <format dxfId="172">
      <pivotArea dataOnly="0" labelOnly="1" fieldPosition="0">
        <references count="1">
          <reference field="1" count="2">
            <x v="0"/>
            <x v="1"/>
          </reference>
        </references>
      </pivotArea>
    </format>
    <format dxfId="171">
      <pivotArea dataOnly="0" labelOnly="1" fieldPosition="0">
        <references count="2">
          <reference field="1" count="1" selected="0">
            <x v="0"/>
          </reference>
          <reference field="3" count="2">
            <x v="0"/>
            <x v="1"/>
          </reference>
        </references>
      </pivotArea>
    </format>
    <format dxfId="170">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1">
    <filter fld="0" type="valueGreaterThan" id="1" iMeasureHier="17">
      <autoFilter ref="A1">
        <filterColumn colId="0">
          <customFilters>
            <customFilter operator="greaterThan" val="10"/>
          </customFilters>
        </filterColumn>
      </autoFilter>
    </filter>
  </filters>
  <rowHierarchiesUsage count="2">
    <rowHierarchyUsage hierarchyUsage="3"/>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3972D9-A87F-4804-81ED-810A19E6C36F}" name="PivotTable17" cacheId="11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D37"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EmpID" fld="1" subtotal="count" baseField="0" baseItem="0"/>
  </dataFields>
  <formats count="9">
    <format dxfId="195">
      <pivotArea type="all" dataOnly="0" outline="0" fieldPosition="0"/>
    </format>
    <format dxfId="196">
      <pivotArea outline="0" collapsedLevelsAreSubtotals="1" fieldPosition="0"/>
    </format>
    <format dxfId="197">
      <pivotArea field="0" type="button" dataOnly="0" labelOnly="1" outline="0"/>
    </format>
    <format dxfId="198">
      <pivotArea dataOnly="0" labelOnly="1" grandRow="1" outline="0" fieldPosition="0"/>
    </format>
    <format dxfId="199">
      <pivotArea dataOnly="0" labelOnly="1" outline="0" axis="axisValues" fieldPosition="0"/>
    </format>
    <format dxfId="180">
      <pivotArea collapsedLevelsAreSubtotals="1" fieldPosition="0">
        <references count="1">
          <reference field="2" count="2">
            <x v="0"/>
            <x v="1"/>
          </reference>
        </references>
      </pivotArea>
    </format>
    <format dxfId="179">
      <pivotArea field="2" type="button" dataOnly="0" labelOnly="1" outline="0" axis="axisRow" fieldPosition="0"/>
    </format>
    <format dxfId="178">
      <pivotArea dataOnly="0" labelOnly="1" fieldPosition="0">
        <references count="1">
          <reference field="2" count="2">
            <x v="0"/>
            <x v="1"/>
          </reference>
        </references>
      </pivotArea>
    </format>
    <format dxfId="177">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 id="1" iMeasureHier="17">
      <autoFilter ref="A1">
        <filterColumn colId="0">
          <customFilters>
            <customFilter operator="greaterThan" val="10"/>
          </customFilters>
        </filterColumn>
      </autoFilter>
    </filter>
    <filter fld="2" type="count" id="2" iMeasureHier="15">
      <autoFilter ref="A1">
        <filterColumn colId="0">
          <top10 val="3" filterVal="3"/>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03FFE8-B67A-4B3F-B10E-27B475645FE6}" name="PivotTable16" cacheId="1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7:D29"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2">
    <i>
      <x/>
    </i>
    <i t="grand">
      <x/>
    </i>
  </rowItems>
  <colItems count="1">
    <i/>
  </colItems>
  <dataFields count="1">
    <dataField name="Count of EmpID" fld="1" subtotal="count" baseField="0" baseItem="0"/>
  </dataFields>
  <formats count="9">
    <format dxfId="200">
      <pivotArea type="all" dataOnly="0" outline="0" fieldPosition="0"/>
    </format>
    <format dxfId="201">
      <pivotArea outline="0" collapsedLevelsAreSubtotals="1" fieldPosition="0"/>
    </format>
    <format dxfId="202">
      <pivotArea field="0" type="button" dataOnly="0" labelOnly="1" outline="0"/>
    </format>
    <format dxfId="203">
      <pivotArea dataOnly="0" labelOnly="1" grandRow="1" outline="0" fieldPosition="0"/>
    </format>
    <format dxfId="204">
      <pivotArea dataOnly="0" labelOnly="1" outline="0" axis="axisValues" fieldPosition="0"/>
    </format>
    <format dxfId="184">
      <pivotArea collapsedLevelsAreSubtotals="1" fieldPosition="0">
        <references count="1">
          <reference field="2" count="0"/>
        </references>
      </pivotArea>
    </format>
    <format dxfId="183">
      <pivotArea field="2" type="button" dataOnly="0" labelOnly="1" outline="0" axis="axisRow" fieldPosition="0"/>
    </format>
    <format dxfId="182">
      <pivotArea dataOnly="0" labelOnly="1" fieldPosition="0">
        <references count="1">
          <reference field="2" count="0"/>
        </references>
      </pivotArea>
    </format>
    <format dxfId="181">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 id="1" iMeasureHier="17">
      <autoFilter ref="A1">
        <filterColumn colId="0">
          <customFilters>
            <customFilter operator="greaterThan" val="10"/>
          </customFilters>
        </filterColumn>
      </autoFilter>
    </filter>
    <filter fld="2" type="count" id="2" iMeasureHier="15">
      <autoFilter ref="A1">
        <filterColumn colId="0">
          <top10 val="1" filterVal="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A8DB00-8A24-4333-9453-714B7D9A3B11}" name="PivotTable14" cacheId="1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0"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v="4"/>
    </i>
    <i>
      <x v="2"/>
    </i>
    <i>
      <x/>
    </i>
    <i>
      <x v="5"/>
    </i>
    <i>
      <x v="1"/>
    </i>
    <i>
      <x v="3"/>
    </i>
    <i t="grand">
      <x/>
    </i>
  </rowItems>
  <colItems count="1">
    <i/>
  </colItems>
  <dataFields count="1">
    <dataField name="Average of Salary" fld="2" subtotal="average" baseField="1" baseItem="0" numFmtId="169"/>
  </dataFields>
  <formats count="6">
    <format dxfId="206">
      <pivotArea type="all" dataOnly="0" outline="0" fieldPosition="0"/>
    </format>
    <format dxfId="207">
      <pivotArea outline="0" collapsedLevelsAreSubtotals="1" fieldPosition="0"/>
    </format>
    <format dxfId="208">
      <pivotArea field="0" type="button" dataOnly="0" labelOnly="1" outline="0"/>
    </format>
    <format dxfId="209">
      <pivotArea dataOnly="0" labelOnly="1" grandRow="1" outline="0" fieldPosition="0"/>
    </format>
    <format dxfId="210">
      <pivotArea dataOnly="0" labelOnly="1" outline="0" axis="axisValues" fieldPosition="0"/>
    </format>
    <format dxfId="205">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filters count="1">
    <filter fld="0" type="valueGreaterThan" id="1" iMeasureHier="17">
      <autoFilter ref="A1">
        <filterColumn colId="0">
          <customFilters>
            <customFilter operator="greaterThan" val="10"/>
          </customFilters>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E09868A-C671-4F35-A93E-4F0BC4EE0E20}" name="PivotTable12" cacheId="1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D22"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name="Average of YearsExperience" fld="2" subtotal="average" baseField="1" baseItem="0"/>
  </dataFields>
  <formats count="9">
    <format dxfId="211">
      <pivotArea type="all" dataOnly="0" outline="0" fieldPosition="0"/>
    </format>
    <format dxfId="212">
      <pivotArea outline="0" collapsedLevelsAreSubtotals="1" fieldPosition="0"/>
    </format>
    <format dxfId="213">
      <pivotArea field="0" type="button" dataOnly="0" labelOnly="1" outline="0"/>
    </format>
    <format dxfId="214">
      <pivotArea dataOnly="0" labelOnly="1" grandRow="1" outline="0" fieldPosition="0"/>
    </format>
    <format dxfId="215">
      <pivotArea dataOnly="0" labelOnly="1" outline="0" axis="axisValues" fieldPosition="0"/>
    </format>
    <format dxfId="188">
      <pivotArea collapsedLevelsAreSubtotals="1" fieldPosition="0">
        <references count="1">
          <reference field="1" count="0"/>
        </references>
      </pivotArea>
    </format>
    <format dxfId="187">
      <pivotArea field="1" type="button" dataOnly="0" labelOnly="1" outline="0" axis="axisRow" fieldPosition="0"/>
    </format>
    <format dxfId="186">
      <pivotArea dataOnly="0" labelOnly="1" fieldPosition="0">
        <references count="1">
          <reference field="1" count="0"/>
        </references>
      </pivotArea>
    </format>
    <format dxfId="185">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YearsExperien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valueGreaterThan" id="1" iMeasureHier="17">
      <autoFilter ref="A1">
        <filterColumn colId="0">
          <customFilters>
            <customFilter operator="greaterThan" val="10"/>
          </customFilters>
        </filterColumn>
      </autoFilter>
    </filter>
    <filter fld="1" type="count" id="2" iMeasureHier="18">
      <autoFilter ref="A1">
        <filterColumn colId="0">
          <top10 val="1" filterVal="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774A85C-00A4-4262-B0B1-A014FCE042FE}" name="PivotTable11" cacheId="1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15"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6"/>
    </i>
    <i>
      <x v="1"/>
    </i>
    <i>
      <x v="9"/>
    </i>
    <i>
      <x v="7"/>
    </i>
    <i>
      <x v="3"/>
    </i>
    <i>
      <x v="2"/>
    </i>
    <i>
      <x v="5"/>
    </i>
    <i>
      <x v="8"/>
    </i>
    <i>
      <x/>
    </i>
    <i t="grand">
      <x/>
    </i>
  </rowItems>
  <colItems count="1">
    <i/>
  </colItems>
  <dataFields count="1">
    <dataField name="Sum of YearsExperience" fld="1" baseField="0" baseItem="0"/>
  </dataFields>
  <formats count="6">
    <format dxfId="221">
      <pivotArea type="all" dataOnly="0" outline="0" fieldPosition="0"/>
    </format>
    <format dxfId="220">
      <pivotArea outline="0" collapsedLevelsAreSubtotals="1" fieldPosition="0"/>
    </format>
    <format dxfId="219">
      <pivotArea field="0" type="button" dataOnly="0" labelOnly="1" outline="0" axis="axisRow" fieldPosition="0"/>
    </format>
    <format dxfId="218">
      <pivotArea dataOnly="0" labelOnly="1" fieldPosition="0">
        <references count="1">
          <reference field="0" count="0"/>
        </references>
      </pivotArea>
    </format>
    <format dxfId="217">
      <pivotArea dataOnly="0" labelOnly="1" grandRow="1" outline="0" fieldPosition="0"/>
    </format>
    <format dxfId="216">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17">
      <autoFilter ref="A1">
        <filterColumn colId="0">
          <customFilters>
            <customFilter operator="greaterThan" val="1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Tech Solution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Date__Month" xr10:uid="{D977C005-516D-450D-B77E-7557604E135B}" sourceName="[Table1].[HireDate (Month)]">
  <pivotTables>
    <pivotTable tabId="3" name="PivotTable5"/>
    <pivotTable tabId="3" name="PivotTable7"/>
    <pivotTable tabId="3" name="PivotTable8"/>
    <pivotTable tabId="3" name="PivotTable9"/>
    <pivotTable tabId="3" name="PivotTable1"/>
    <pivotTable tabId="3" name="PivotTable10"/>
    <pivotTable tabId="3" name="PivotTable2"/>
    <pivotTable tabId="3" name="PivotTable3"/>
    <pivotTable tabId="3" name="PivotTable6"/>
  </pivotTables>
  <data>
    <olap pivotCacheId="343375332">
      <levels count="2">
        <level uniqueName="[Table1].[HireDate (Month)].[(All)]" sourceCaption="(All)" count="0"/>
        <level uniqueName="[Table1].[HireDate (Month)].[HireDate (Month)]" sourceCaption="HireDate (Month)" count="12">
          <ranges>
            <range startItem="0">
              <i n="[Table1].[HireDate (Month)].&amp;[Jan]" c="Jan"/>
              <i n="[Table1].[HireDate (Month)].&amp;[Feb]" c="Feb"/>
              <i n="[Table1].[HireDate (Month)].&amp;[Mar]" c="Mar"/>
              <i n="[Table1].[HireDate (Month)].&amp;[Apr]" c="Apr"/>
              <i n="[Table1].[HireDate (Month)].&amp;[May]" c="May"/>
              <i n="[Table1].[HireDate (Month)].&amp;[Jun]" c="Jun"/>
              <i n="[Table1].[HireDate (Month)].&amp;[Jul]" c="Jul"/>
              <i n="[Table1].[HireDate (Month)].&amp;[Aug]" c="Aug"/>
              <i n="[Table1].[HireDate (Month)].&amp;[Sep]" c="Sep"/>
              <i n="[Table1].[HireDate (Month)].&amp;[Oct]" c="Oct"/>
              <i n="[Table1].[HireDate (Month)].&amp;[Nov]" c="Nov"/>
              <i n="[Table1].[HireDate (Month)].&amp;[Dec]" c="Dec"/>
            </range>
          </ranges>
        </level>
      </levels>
      <selections count="1">
        <selection n="[Table1].[Hir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A117F01C-1CAE-40F8-8CC3-4460591E7EA1}" sourceName="[Table1].[JobTitle]">
  <pivotTables>
    <pivotTable tabId="3" name="PivotTable5"/>
    <pivotTable tabId="3" name="PivotTable7"/>
    <pivotTable tabId="3" name="PivotTable8"/>
    <pivotTable tabId="3" name="PivotTable9"/>
    <pivotTable tabId="3" name="PivotTable1"/>
    <pivotTable tabId="3" name="PivotTable10"/>
    <pivotTable tabId="3" name="PivotTable2"/>
    <pivotTable tabId="3" name="PivotTable3"/>
    <pivotTable tabId="3" name="PivotTable6"/>
  </pivotTables>
  <data>
    <olap pivotCacheId="343375332">
      <levels count="2">
        <level uniqueName="[Table1].[JobTitle].[(All)]" sourceCaption="(All)" count="0"/>
        <level uniqueName="[Table1].[JobTitle].[JobTitle]" sourceCaption="JobTitle" count="23">
          <ranges>
            <range startItem="0">
              <i n="[Table1].[JobTitle].&amp;[Accountant]" c="Accountant"/>
              <i n="[Table1].[JobTitle].&amp;[Customer Support]" c="Customer Support"/>
              <i n="[Table1].[JobTitle].&amp;[Data Analyst]" c="Data Analyst"/>
              <i n="[Table1].[JobTitle].&amp;[Data Engineer]" c="Data Engineer"/>
              <i n="[Table1].[JobTitle].&amp;[Data Scientist]" c="Data Scientist"/>
              <i n="[Table1].[JobTitle].&amp;[Designer]" c="Designer"/>
              <i n="[Table1].[JobTitle].&amp;[Developer]" c="Developer"/>
              <i n="[Table1].[JobTitle].&amp;[DevOps Engineer]" c="DevOps Engineer"/>
              <i n="[Table1].[JobTitle].&amp;[Financial Analyst]" c="Financial Analyst"/>
              <i n="[Table1].[JobTitle].&amp;[HR Generalist]" c="HR Generalist"/>
              <i n="[Table1].[JobTitle].&amp;[HR Manager]" c="HR Manager"/>
              <i n="[Table1].[JobTitle].&amp;[HR Specialist]" c="HR Specialist"/>
              <i n="[Table1].[JobTitle].&amp;[Marketing Analyst]" c="Marketing Analyst"/>
              <i n="[Table1].[JobTitle].&amp;[Marketing Manager]" c="Marketing Manager"/>
              <i n="[Table1].[JobTitle].&amp;[Marketing Specialist]" c="Marketing Specialist"/>
              <i n="[Table1].[JobTitle].&amp;[Product Manager]" c="Product Manager"/>
              <i n="[Table1].[JobTitle].&amp;[Product Owner]" c="Product Owner"/>
              <i n="[Table1].[JobTitle].&amp;[Project Manager]" c="Project Manager"/>
              <i n="[Table1].[JobTitle].&amp;[Recruiter]" c="Recruiter"/>
              <i n="[Table1].[JobTitle].&amp;[Sales Executive]" c="Sales Executive"/>
              <i n="[Table1].[JobTitle].&amp;[Software Engineer]" c="Software Engineer"/>
              <i n="[Table1].[JobTitle].&amp;[Support Engineer]" c="Support Engineer"/>
              <i n="[Table1].[JobTitle].&amp;[UI/UX Designer]" c="UI/UX Designer"/>
            </range>
          </ranges>
        </level>
      </levels>
      <selections count="1">
        <selection n="[Table1].[JobTit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Date__Year" xr10:uid="{C773229F-A7A8-4247-8DCD-FF882F80CE69}" sourceName="[Table1].[HireDate (Year)]">
  <pivotTables>
    <pivotTable tabId="3" name="PivotTable9"/>
    <pivotTable tabId="3" name="PivotTable1"/>
    <pivotTable tabId="3" name="PivotTable10"/>
    <pivotTable tabId="3" name="PivotTable2"/>
    <pivotTable tabId="3" name="PivotTable5"/>
    <pivotTable tabId="3" name="PivotTable6"/>
    <pivotTable tabId="3" name="PivotTable7"/>
    <pivotTable tabId="3" name="PivotTable8"/>
  </pivotTables>
  <data>
    <olap pivotCacheId="205042510">
      <levels count="2">
        <level uniqueName="[Table1].[HireDate (Year)].[(All)]" sourceCaption="(All)" count="0"/>
        <level uniqueName="[Table1].[HireDate (Year)].[HireDate (Year)]" sourceCaption="HireDate (Year)" count="11">
          <ranges>
            <range startItem="0">
              <i n="[Table1].[HireDate (Year)].&amp;[2012]" c="2012"/>
              <i n="[Table1].[HireDate (Year)].&amp;[2013]" c="2013"/>
              <i n="[Table1].[HireDate (Year)].&amp;[2014]" c="2014"/>
              <i n="[Table1].[HireDate (Year)].&amp;[2015]" c="2015"/>
              <i n="[Table1].[HireDate (Year)].&amp;[2016]" c="2016"/>
              <i n="[Table1].[HireDate (Year)].&amp;[2017]" c="2017"/>
              <i n="[Table1].[HireDate (Year)].&amp;[2018]" c="2018"/>
              <i n="[Table1].[HireDate (Year)].&amp;[2019]" c="2019"/>
              <i n="[Table1].[HireDate (Year)].&amp;[2020]" c="2020"/>
              <i n="[Table1].[HireDate (Year)].&amp;[2021]" c="2021"/>
              <i n="[Table1].[HireDate (Year)].&amp;[2022]" c="2022"/>
            </range>
          </ranges>
        </level>
      </levels>
      <selections count="1">
        <selection n="[Table1].[Hir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Date (Month)" xr10:uid="{14761A5C-F2CB-4C02-B0CD-F6DDD4786803}" cache="Slicer_HireDate__Month" caption="HireDate (Month)" columnCount="12" showCaption="0" level="1" style="SlicerStyleLight3 2" rowHeight="828000"/>
  <slicer name="JobTitle" xr10:uid="{59BC07AB-BBE9-40A6-A660-AAA7BB075051}" cache="Slicer_JobTitle" caption="JobTitle" showCaption="0" level="1" style="SlicerStyleLight3 2" rowHeight="936000"/>
  <slicer name="HireDate (Year)" xr10:uid="{68E39E82-67FD-422F-9D02-3761D8E220BB}" cache="Slicer_HireDate__Year" caption="HireDate (Year)" columnCount="12" showCaption="0" level="1" style="SlicerStyleLight3 2"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A585AF-9B67-4C91-9775-90ACF7AC7487}" name="Table1" displayName="Table1" ref="A1:K31" totalsRowShown="0" headerRowDxfId="309" dataDxfId="308">
  <autoFilter ref="A1:K31" xr:uid="{73A585AF-9B67-4C91-9775-90ACF7AC7487}"/>
  <tableColumns count="11">
    <tableColumn id="1" xr3:uid="{37DE973E-3108-417F-B2E5-2407DC8EDD8D}" name="EmpID" dataDxfId="307"/>
    <tableColumn id="2" xr3:uid="{E084D6FD-3704-4C7A-805C-B77C885A5ABD}" name="FullName" dataDxfId="306"/>
    <tableColumn id="3" xr3:uid="{9C71B6BC-260D-417D-875E-AD28716737D7}" name="JobTitle" dataDxfId="305"/>
    <tableColumn id="4" xr3:uid="{90787475-26AF-4CFE-BE79-8D76E70082F1}" name="Department" dataDxfId="304"/>
    <tableColumn id="5" xr3:uid="{0EF59396-5465-4FE7-8C27-24E158E4B504}" name="HireDate" dataDxfId="303"/>
    <tableColumn id="6" xr3:uid="{8E252474-4EF1-440E-B29B-BACD9AD6C1CF}" name="Salary" dataDxfId="302"/>
    <tableColumn id="7" xr3:uid="{8D74136D-399E-4354-A961-547230CEC197}" name="YearsExperience" dataDxfId="301"/>
    <tableColumn id="8" xr3:uid="{E9A48F12-0793-4B7F-87A5-70535374E1D3}" name="Country" dataDxfId="300"/>
    <tableColumn id="9" xr3:uid="{8FBFA91F-233E-41A2-AD36-C85743961D07}" name="City" dataDxfId="299"/>
    <tableColumn id="11" xr3:uid="{8E8FFC0E-5488-4FCC-B9DC-9C3D614F0E9F}" name="Department Average Salary" dataDxfId="1">
      <calculatedColumnFormula>AVERAGEIF($C:$C,C2,$F:$F)</calculatedColumnFormula>
    </tableColumn>
    <tableColumn id="12" xr3:uid="{BEE42969-3190-42E4-B8ED-03EBCADCED1E}" name="Class Category" dataDxfId="0">
      <calculatedColumnFormula>IF(Table1[[#This Row],[Salary]]&gt;Table1[[#This Row],[Department Average Salary]],"High Class", "Low Class")</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1.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9C2D-BF61-44EE-BE4C-87396598EF7C}">
  <dimension ref="A3:K53"/>
  <sheetViews>
    <sheetView topLeftCell="C1" workbookViewId="0">
      <selection activeCell="I6" sqref="I6"/>
    </sheetView>
  </sheetViews>
  <sheetFormatPr defaultRowHeight="12.75" x14ac:dyDescent="0.2"/>
  <cols>
    <col min="1" max="1" width="22.6640625" customWidth="1"/>
    <col min="2" max="2" width="38" customWidth="1"/>
    <col min="3" max="3" width="59" customWidth="1"/>
    <col min="4" max="4" width="61.33203125" customWidth="1"/>
    <col min="5" max="5" width="31.83203125" customWidth="1"/>
    <col min="9" max="9" width="34.33203125" customWidth="1"/>
    <col min="10" max="10" width="34.1640625" customWidth="1"/>
    <col min="11" max="11" width="15.33203125" bestFit="1" customWidth="1"/>
    <col min="12" max="20" width="5.83203125" bestFit="1" customWidth="1"/>
    <col min="21" max="21" width="12" bestFit="1" customWidth="1"/>
    <col min="22" max="24" width="7.83203125" bestFit="1" customWidth="1"/>
    <col min="25" max="25" width="8" bestFit="1" customWidth="1"/>
    <col min="26" max="26" width="7.83203125" bestFit="1" customWidth="1"/>
    <col min="27" max="27" width="6.83203125" bestFit="1" customWidth="1"/>
    <col min="28" max="28" width="8" bestFit="1" customWidth="1"/>
    <col min="29" max="30" width="7.83203125" bestFit="1" customWidth="1"/>
    <col min="31" max="31" width="6.6640625" bestFit="1" customWidth="1"/>
    <col min="32" max="32" width="8" bestFit="1" customWidth="1"/>
    <col min="33" max="35" width="7.83203125" bestFit="1" customWidth="1"/>
    <col min="36" max="36" width="8" bestFit="1" customWidth="1"/>
    <col min="37" max="37" width="7.83203125" bestFit="1" customWidth="1"/>
    <col min="38" max="39" width="8" bestFit="1" customWidth="1"/>
    <col min="40" max="40" width="12" bestFit="1" customWidth="1"/>
  </cols>
  <sheetData>
    <row r="3" spans="1:10" x14ac:dyDescent="0.2">
      <c r="A3" t="s">
        <v>127</v>
      </c>
      <c r="B3" t="s">
        <v>134</v>
      </c>
      <c r="C3" t="s">
        <v>129</v>
      </c>
      <c r="D3" t="s">
        <v>130</v>
      </c>
    </row>
    <row r="4" spans="1:10" x14ac:dyDescent="0.2">
      <c r="A4" s="16">
        <v>30</v>
      </c>
      <c r="B4" s="16">
        <v>96711.17333333334</v>
      </c>
      <c r="C4" s="16">
        <v>8.1300000000000008</v>
      </c>
      <c r="D4" s="16">
        <v>6</v>
      </c>
    </row>
    <row r="5" spans="1:10" ht="15.75" x14ac:dyDescent="0.2">
      <c r="I5" s="21" t="s">
        <v>154</v>
      </c>
      <c r="J5" s="22"/>
    </row>
    <row r="6" spans="1:10" ht="20.25" x14ac:dyDescent="0.2">
      <c r="D6" s="17" t="s">
        <v>136</v>
      </c>
      <c r="E6" s="17"/>
      <c r="I6" s="23" t="s">
        <v>137</v>
      </c>
      <c r="J6" s="18" t="s">
        <v>139</v>
      </c>
    </row>
    <row r="7" spans="1:10" x14ac:dyDescent="0.2">
      <c r="D7" s="18" t="s">
        <v>131</v>
      </c>
      <c r="E7" s="18">
        <f>GETPIVOTDATA("[Measures].[Count of EmpID]",$A$3)</f>
        <v>30</v>
      </c>
      <c r="I7" s="18" t="s">
        <v>143</v>
      </c>
      <c r="J7" s="24">
        <v>2</v>
      </c>
    </row>
    <row r="8" spans="1:10" x14ac:dyDescent="0.2">
      <c r="D8" s="19" t="s">
        <v>135</v>
      </c>
      <c r="E8" s="20">
        <f>GETPIVOTDATA("[Measures].[Average of Salary]",$A$3)</f>
        <v>96711.17333333334</v>
      </c>
      <c r="I8" s="18" t="s">
        <v>144</v>
      </c>
      <c r="J8" s="24">
        <v>3</v>
      </c>
    </row>
    <row r="9" spans="1:10" x14ac:dyDescent="0.2">
      <c r="D9" s="18" t="s">
        <v>132</v>
      </c>
      <c r="E9" s="18">
        <f>GETPIVOTDATA("[Measures].[Average of YearsExperience]",$A$3)</f>
        <v>8.1300000000000008</v>
      </c>
      <c r="I9" s="18" t="s">
        <v>145</v>
      </c>
      <c r="J9" s="24">
        <v>3</v>
      </c>
    </row>
    <row r="10" spans="1:10" x14ac:dyDescent="0.2">
      <c r="D10" s="18" t="s">
        <v>133</v>
      </c>
      <c r="E10" s="18">
        <f>GETPIVOTDATA("[Measures].[Distinct Count of Department]",$A$3)</f>
        <v>6</v>
      </c>
      <c r="I10" s="18" t="s">
        <v>146</v>
      </c>
      <c r="J10" s="24">
        <v>3</v>
      </c>
    </row>
    <row r="11" spans="1:10" x14ac:dyDescent="0.2">
      <c r="I11" s="18" t="s">
        <v>147</v>
      </c>
      <c r="J11" s="24">
        <v>4</v>
      </c>
    </row>
    <row r="12" spans="1:10" x14ac:dyDescent="0.2">
      <c r="I12" s="18" t="s">
        <v>148</v>
      </c>
      <c r="J12" s="24">
        <v>3</v>
      </c>
    </row>
    <row r="13" spans="1:10" ht="15.75" x14ac:dyDescent="0.2">
      <c r="B13" s="31" t="s">
        <v>142</v>
      </c>
      <c r="C13" s="32"/>
      <c r="D13" s="33"/>
      <c r="E13" s="30"/>
      <c r="I13" s="18" t="s">
        <v>149</v>
      </c>
      <c r="J13" s="24">
        <v>4</v>
      </c>
    </row>
    <row r="14" spans="1:10" x14ac:dyDescent="0.2">
      <c r="B14" s="23" t="s">
        <v>137</v>
      </c>
      <c r="C14" s="18" t="s">
        <v>140</v>
      </c>
      <c r="D14" s="18" t="s">
        <v>141</v>
      </c>
      <c r="I14" s="18" t="s">
        <v>150</v>
      </c>
      <c r="J14" s="24">
        <v>4</v>
      </c>
    </row>
    <row r="15" spans="1:10" x14ac:dyDescent="0.2">
      <c r="B15" s="18" t="s">
        <v>42</v>
      </c>
      <c r="C15" s="25">
        <v>391002.3</v>
      </c>
      <c r="D15" s="25">
        <v>78200.459999999992</v>
      </c>
      <c r="I15" s="18" t="s">
        <v>151</v>
      </c>
      <c r="J15" s="24">
        <v>2</v>
      </c>
    </row>
    <row r="16" spans="1:10" x14ac:dyDescent="0.2">
      <c r="B16" s="18" t="s">
        <v>12</v>
      </c>
      <c r="C16" s="25">
        <v>458763.23</v>
      </c>
      <c r="D16" s="25">
        <v>91752.645999999993</v>
      </c>
      <c r="I16" s="18" t="s">
        <v>152</v>
      </c>
      <c r="J16" s="24">
        <v>1</v>
      </c>
    </row>
    <row r="17" spans="2:10" x14ac:dyDescent="0.2">
      <c r="B17" s="18" t="s">
        <v>56</v>
      </c>
      <c r="C17" s="25">
        <v>320102.25</v>
      </c>
      <c r="D17" s="25">
        <v>80025.5625</v>
      </c>
      <c r="I17" s="18" t="s">
        <v>153</v>
      </c>
      <c r="J17" s="24">
        <v>1</v>
      </c>
    </row>
    <row r="18" spans="2:10" x14ac:dyDescent="0.2">
      <c r="B18" s="18" t="s">
        <v>18</v>
      </c>
      <c r="C18" s="25">
        <v>1019641.22</v>
      </c>
      <c r="D18" s="25">
        <v>113293.46888888889</v>
      </c>
      <c r="I18" s="18" t="s">
        <v>138</v>
      </c>
      <c r="J18" s="24">
        <v>30</v>
      </c>
    </row>
    <row r="19" spans="2:10" x14ac:dyDescent="0.2">
      <c r="B19" s="18" t="s">
        <v>28</v>
      </c>
      <c r="C19" s="25">
        <v>260300.95</v>
      </c>
      <c r="D19" s="25">
        <v>130150.47500000001</v>
      </c>
    </row>
    <row r="20" spans="2:10" x14ac:dyDescent="0.2">
      <c r="B20" s="18" t="s">
        <v>24</v>
      </c>
      <c r="C20" s="25">
        <v>451525.25</v>
      </c>
      <c r="D20" s="25">
        <v>90305.05</v>
      </c>
    </row>
    <row r="21" spans="2:10" x14ac:dyDescent="0.2">
      <c r="B21" s="18" t="s">
        <v>138</v>
      </c>
      <c r="C21" s="25">
        <v>2901335.2</v>
      </c>
      <c r="D21" s="25">
        <v>96711.17333333334</v>
      </c>
    </row>
    <row r="22" spans="2:10" ht="18.75" x14ac:dyDescent="0.2">
      <c r="I22" s="37" t="s">
        <v>162</v>
      </c>
      <c r="J22" s="22"/>
    </row>
    <row r="23" spans="2:10" x14ac:dyDescent="0.2">
      <c r="I23" s="23" t="s">
        <v>137</v>
      </c>
      <c r="J23" s="18" t="s">
        <v>140</v>
      </c>
    </row>
    <row r="24" spans="2:10" x14ac:dyDescent="0.2">
      <c r="F24" s="35"/>
      <c r="G24" s="35"/>
      <c r="I24" s="18" t="s">
        <v>29</v>
      </c>
      <c r="J24" s="25">
        <v>693703.3</v>
      </c>
    </row>
    <row r="25" spans="2:10" x14ac:dyDescent="0.2">
      <c r="F25" s="35"/>
      <c r="G25" s="36"/>
      <c r="I25" s="18" t="s">
        <v>13</v>
      </c>
      <c r="J25" s="25">
        <v>626086.98</v>
      </c>
    </row>
    <row r="26" spans="2:10" ht="18.75" x14ac:dyDescent="0.2">
      <c r="B26" s="38" t="s">
        <v>158</v>
      </c>
      <c r="C26" s="38"/>
      <c r="D26" s="38"/>
      <c r="F26" s="35"/>
      <c r="G26" s="36"/>
      <c r="I26" s="18" t="s">
        <v>34</v>
      </c>
      <c r="J26" s="25">
        <v>571852.05000000005</v>
      </c>
    </row>
    <row r="27" spans="2:10" x14ac:dyDescent="0.2">
      <c r="B27" s="23" t="s">
        <v>137</v>
      </c>
      <c r="C27" s="18" t="s">
        <v>157</v>
      </c>
      <c r="D27" s="18" t="s">
        <v>156</v>
      </c>
      <c r="F27" s="35"/>
      <c r="G27" s="36"/>
      <c r="I27" s="18" t="s">
        <v>19</v>
      </c>
      <c r="J27" s="25">
        <v>477590.47</v>
      </c>
    </row>
    <row r="28" spans="2:10" x14ac:dyDescent="0.2">
      <c r="B28" s="18" t="s">
        <v>28</v>
      </c>
      <c r="C28" s="24">
        <v>2</v>
      </c>
      <c r="D28" s="28">
        <v>13</v>
      </c>
      <c r="F28" s="35"/>
      <c r="G28" s="36"/>
      <c r="I28" s="18" t="s">
        <v>43</v>
      </c>
      <c r="J28" s="25">
        <v>350001.5</v>
      </c>
    </row>
    <row r="29" spans="2:10" x14ac:dyDescent="0.2">
      <c r="B29" s="18" t="s">
        <v>56</v>
      </c>
      <c r="C29" s="24">
        <v>4</v>
      </c>
      <c r="D29" s="28">
        <v>8.75</v>
      </c>
      <c r="F29" s="35"/>
      <c r="G29" s="36"/>
      <c r="I29" s="18" t="s">
        <v>52</v>
      </c>
      <c r="J29" s="25">
        <v>182100.9</v>
      </c>
    </row>
    <row r="30" spans="2:10" x14ac:dyDescent="0.2">
      <c r="B30" s="18" t="s">
        <v>12</v>
      </c>
      <c r="C30" s="24">
        <v>5</v>
      </c>
      <c r="D30" s="28">
        <v>10.559999999999999</v>
      </c>
      <c r="F30" s="35"/>
      <c r="G30" s="36"/>
      <c r="I30" s="18" t="s">
        <v>138</v>
      </c>
      <c r="J30" s="25">
        <v>2901335.2</v>
      </c>
    </row>
    <row r="31" spans="2:10" x14ac:dyDescent="0.2">
      <c r="B31" s="18" t="s">
        <v>42</v>
      </c>
      <c r="C31" s="24">
        <v>5</v>
      </c>
      <c r="D31" s="28">
        <v>7.12</v>
      </c>
      <c r="F31" s="35"/>
      <c r="G31" s="35"/>
    </row>
    <row r="32" spans="2:10" x14ac:dyDescent="0.2">
      <c r="B32" s="18" t="s">
        <v>24</v>
      </c>
      <c r="C32" s="24">
        <v>5</v>
      </c>
      <c r="D32" s="28">
        <v>5.34</v>
      </c>
    </row>
    <row r="33" spans="2:11" x14ac:dyDescent="0.2">
      <c r="B33" s="18" t="s">
        <v>18</v>
      </c>
      <c r="C33" s="24">
        <v>9</v>
      </c>
      <c r="D33" s="28">
        <v>7.5333333333333332</v>
      </c>
    </row>
    <row r="34" spans="2:11" x14ac:dyDescent="0.2">
      <c r="B34" s="18" t="s">
        <v>138</v>
      </c>
      <c r="C34" s="24">
        <v>30</v>
      </c>
      <c r="D34" s="28">
        <v>8.1300000000000008</v>
      </c>
    </row>
    <row r="36" spans="2:11" ht="18.75" x14ac:dyDescent="0.2">
      <c r="I36" s="37" t="s">
        <v>160</v>
      </c>
      <c r="J36" s="37"/>
      <c r="K36" s="34"/>
    </row>
    <row r="37" spans="2:11" x14ac:dyDescent="0.2">
      <c r="I37" s="23" t="s">
        <v>137</v>
      </c>
      <c r="J37" s="18" t="s">
        <v>155</v>
      </c>
    </row>
    <row r="38" spans="2:11" ht="20.25" x14ac:dyDescent="0.2">
      <c r="B38" s="17" t="s">
        <v>159</v>
      </c>
      <c r="C38" s="17"/>
      <c r="D38" s="17"/>
      <c r="I38" s="18" t="s">
        <v>56</v>
      </c>
      <c r="J38" s="24">
        <v>35</v>
      </c>
    </row>
    <row r="39" spans="2:11" x14ac:dyDescent="0.2">
      <c r="B39" s="23" t="s">
        <v>137</v>
      </c>
      <c r="C39" s="18" t="s">
        <v>157</v>
      </c>
      <c r="D39" s="18" t="s">
        <v>128</v>
      </c>
      <c r="I39" s="18" t="s">
        <v>24</v>
      </c>
      <c r="J39" s="24">
        <v>26.7</v>
      </c>
    </row>
    <row r="40" spans="2:11" x14ac:dyDescent="0.2">
      <c r="B40" s="18" t="s">
        <v>20</v>
      </c>
      <c r="C40" s="24">
        <v>3</v>
      </c>
      <c r="D40" s="25">
        <v>315211.82</v>
      </c>
      <c r="I40" s="18" t="s">
        <v>28</v>
      </c>
      <c r="J40" s="24">
        <v>26</v>
      </c>
    </row>
    <row r="41" spans="2:11" x14ac:dyDescent="0.2">
      <c r="B41" s="18" t="s">
        <v>44</v>
      </c>
      <c r="C41" s="24">
        <v>3</v>
      </c>
      <c r="D41" s="25">
        <v>289801.05</v>
      </c>
      <c r="I41" s="18" t="s">
        <v>138</v>
      </c>
      <c r="J41" s="24">
        <v>87.7</v>
      </c>
    </row>
    <row r="42" spans="2:11" x14ac:dyDescent="0.2">
      <c r="B42" s="18" t="s">
        <v>14</v>
      </c>
      <c r="C42" s="24">
        <v>3</v>
      </c>
      <c r="D42" s="25">
        <v>265361.88</v>
      </c>
    </row>
    <row r="43" spans="2:11" x14ac:dyDescent="0.2">
      <c r="B43" s="18" t="s">
        <v>138</v>
      </c>
      <c r="C43" s="24">
        <v>9</v>
      </c>
      <c r="D43" s="25">
        <v>870374.75</v>
      </c>
    </row>
    <row r="46" spans="2:11" ht="18.75" x14ac:dyDescent="0.2">
      <c r="I46" s="37" t="s">
        <v>163</v>
      </c>
      <c r="J46" s="22"/>
    </row>
    <row r="47" spans="2:11" ht="18.75" x14ac:dyDescent="0.2">
      <c r="B47" s="37" t="s">
        <v>161</v>
      </c>
      <c r="C47" s="37"/>
      <c r="I47" s="23" t="s">
        <v>137</v>
      </c>
      <c r="J47" s="18" t="s">
        <v>140</v>
      </c>
    </row>
    <row r="48" spans="2:11" x14ac:dyDescent="0.2">
      <c r="B48" s="23" t="s">
        <v>137</v>
      </c>
      <c r="C48" s="18" t="s">
        <v>155</v>
      </c>
      <c r="I48" s="18" t="s">
        <v>99</v>
      </c>
      <c r="J48" s="25">
        <v>134800.95000000001</v>
      </c>
    </row>
    <row r="49" spans="2:10" x14ac:dyDescent="0.2">
      <c r="B49" s="18" t="s">
        <v>84</v>
      </c>
      <c r="C49" s="24">
        <v>2.5</v>
      </c>
      <c r="I49" s="18" t="s">
        <v>46</v>
      </c>
      <c r="J49" s="25">
        <v>134200</v>
      </c>
    </row>
    <row r="50" spans="2:10" x14ac:dyDescent="0.2">
      <c r="B50" s="18" t="s">
        <v>63</v>
      </c>
      <c r="C50" s="24">
        <v>2.1</v>
      </c>
      <c r="I50" s="18" t="s">
        <v>110</v>
      </c>
      <c r="J50" s="25">
        <v>128300.2</v>
      </c>
    </row>
    <row r="51" spans="2:10" x14ac:dyDescent="0.2">
      <c r="B51" s="18" t="s">
        <v>22</v>
      </c>
      <c r="C51" s="24">
        <v>1.3</v>
      </c>
      <c r="I51" s="18" t="s">
        <v>84</v>
      </c>
      <c r="J51" s="25">
        <v>125700.85</v>
      </c>
    </row>
    <row r="52" spans="2:10" x14ac:dyDescent="0.2">
      <c r="B52" s="18" t="s">
        <v>138</v>
      </c>
      <c r="C52" s="24">
        <v>5.9</v>
      </c>
      <c r="I52" s="18" t="s">
        <v>26</v>
      </c>
      <c r="J52" s="25">
        <v>125500</v>
      </c>
    </row>
    <row r="53" spans="2:10" x14ac:dyDescent="0.2">
      <c r="I53" s="18" t="s">
        <v>138</v>
      </c>
      <c r="J53" s="25">
        <v>648502</v>
      </c>
    </row>
  </sheetData>
  <mergeCells count="9">
    <mergeCell ref="B47:C47"/>
    <mergeCell ref="I22:J22"/>
    <mergeCell ref="I46:J46"/>
    <mergeCell ref="D6:E6"/>
    <mergeCell ref="I5:J5"/>
    <mergeCell ref="B26:D26"/>
    <mergeCell ref="B38:D38"/>
    <mergeCell ref="I36:J36"/>
    <mergeCell ref="B13: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F24F0-76DF-494A-A622-D399A6CE4389}">
  <dimension ref="C2:N106"/>
  <sheetViews>
    <sheetView topLeftCell="A29" workbookViewId="0"/>
  </sheetViews>
  <sheetFormatPr defaultRowHeight="12.75" x14ac:dyDescent="0.2"/>
  <cols>
    <col min="3" max="3" width="45.33203125" customWidth="1"/>
    <col min="4" max="4" width="32.1640625" customWidth="1"/>
    <col min="5" max="5" width="23.83203125" bestFit="1" customWidth="1"/>
    <col min="8" max="8" width="20.83203125" customWidth="1"/>
    <col min="9" max="9" width="30.83203125" customWidth="1"/>
    <col min="11" max="11" width="7.6640625" customWidth="1"/>
    <col min="12" max="12" width="9.33203125" hidden="1" customWidth="1"/>
    <col min="13" max="13" width="21.6640625" customWidth="1"/>
    <col min="14" max="14" width="29.1640625" customWidth="1"/>
  </cols>
  <sheetData>
    <row r="2" spans="3:14" ht="15.75" x14ac:dyDescent="0.2">
      <c r="H2" s="27" t="s">
        <v>166</v>
      </c>
      <c r="I2" s="26"/>
      <c r="M2" s="27" t="s">
        <v>170</v>
      </c>
      <c r="N2" s="27"/>
    </row>
    <row r="3" spans="3:14" ht="15.75" x14ac:dyDescent="0.2">
      <c r="C3" s="21" t="s">
        <v>164</v>
      </c>
      <c r="D3" s="21"/>
      <c r="H3" s="23" t="s">
        <v>137</v>
      </c>
      <c r="I3" s="18" t="s">
        <v>134</v>
      </c>
      <c r="M3" s="23" t="s">
        <v>137</v>
      </c>
      <c r="N3" s="18" t="s">
        <v>128</v>
      </c>
    </row>
    <row r="4" spans="3:14" x14ac:dyDescent="0.2">
      <c r="C4" s="23" t="s">
        <v>137</v>
      </c>
      <c r="D4" s="18" t="s">
        <v>155</v>
      </c>
      <c r="H4" s="18" t="s">
        <v>28</v>
      </c>
      <c r="I4" s="39">
        <v>130150.47500000001</v>
      </c>
      <c r="M4" s="18" t="s">
        <v>99</v>
      </c>
      <c r="N4" s="39">
        <v>134800.95000000001</v>
      </c>
    </row>
    <row r="5" spans="3:14" x14ac:dyDescent="0.2">
      <c r="C5" s="18" t="s">
        <v>87</v>
      </c>
      <c r="D5" s="24">
        <v>15</v>
      </c>
      <c r="H5" s="18" t="s">
        <v>18</v>
      </c>
      <c r="I5" s="39">
        <v>113293.46888888889</v>
      </c>
      <c r="M5" s="18" t="s">
        <v>46</v>
      </c>
      <c r="N5" s="39">
        <v>134200</v>
      </c>
    </row>
    <row r="6" spans="3:14" x14ac:dyDescent="0.2">
      <c r="C6" s="18" t="s">
        <v>16</v>
      </c>
      <c r="D6" s="24">
        <v>14.8</v>
      </c>
      <c r="H6" s="18" t="s">
        <v>12</v>
      </c>
      <c r="I6" s="39">
        <v>91752.645999999993</v>
      </c>
      <c r="M6" s="18" t="s">
        <v>26</v>
      </c>
      <c r="N6" s="39">
        <v>125500</v>
      </c>
    </row>
    <row r="7" spans="3:14" x14ac:dyDescent="0.2">
      <c r="C7" s="18" t="s">
        <v>99</v>
      </c>
      <c r="D7" s="24">
        <v>14.6</v>
      </c>
      <c r="H7" s="18" t="s">
        <v>24</v>
      </c>
      <c r="I7" s="39">
        <v>90305.05</v>
      </c>
      <c r="M7" s="18" t="s">
        <v>110</v>
      </c>
      <c r="N7" s="39">
        <v>128300.2</v>
      </c>
    </row>
    <row r="8" spans="3:14" x14ac:dyDescent="0.2">
      <c r="C8" s="18" t="s">
        <v>54</v>
      </c>
      <c r="D8" s="24">
        <v>14.2</v>
      </c>
      <c r="H8" s="18" t="s">
        <v>56</v>
      </c>
      <c r="I8" s="39">
        <v>80025.5625</v>
      </c>
      <c r="M8" s="18" t="s">
        <v>84</v>
      </c>
      <c r="N8" s="39">
        <v>125700.85</v>
      </c>
    </row>
    <row r="9" spans="3:14" x14ac:dyDescent="0.2">
      <c r="C9" s="18" t="s">
        <v>10</v>
      </c>
      <c r="D9" s="24">
        <v>13.1</v>
      </c>
      <c r="H9" s="18" t="s">
        <v>42</v>
      </c>
      <c r="I9" s="39">
        <v>78200.459999999992</v>
      </c>
      <c r="M9" s="18" t="s">
        <v>138</v>
      </c>
      <c r="N9" s="39">
        <v>648502</v>
      </c>
    </row>
    <row r="10" spans="3:14" x14ac:dyDescent="0.2">
      <c r="C10" s="18" t="s">
        <v>124</v>
      </c>
      <c r="D10" s="24">
        <v>12.7</v>
      </c>
      <c r="H10" s="18" t="s">
        <v>138</v>
      </c>
      <c r="I10" s="39">
        <v>96711.17333333334</v>
      </c>
    </row>
    <row r="11" spans="3:14" x14ac:dyDescent="0.2">
      <c r="C11" s="18" t="s">
        <v>46</v>
      </c>
      <c r="D11" s="24">
        <v>12</v>
      </c>
    </row>
    <row r="12" spans="3:14" x14ac:dyDescent="0.2">
      <c r="C12" s="18" t="s">
        <v>26</v>
      </c>
      <c r="D12" s="24">
        <v>11.4</v>
      </c>
    </row>
    <row r="13" spans="3:14" x14ac:dyDescent="0.2">
      <c r="C13" s="18" t="s">
        <v>110</v>
      </c>
      <c r="D13" s="24">
        <v>11.1</v>
      </c>
    </row>
    <row r="14" spans="3:14" ht="15.75" x14ac:dyDescent="0.2">
      <c r="C14" s="18" t="s">
        <v>74</v>
      </c>
      <c r="D14" s="24">
        <v>10.199999999999999</v>
      </c>
      <c r="M14" s="27" t="s">
        <v>171</v>
      </c>
      <c r="N14" s="26"/>
    </row>
    <row r="15" spans="3:14" x14ac:dyDescent="0.2">
      <c r="C15" s="18" t="s">
        <v>138</v>
      </c>
      <c r="D15" s="24">
        <v>129.1</v>
      </c>
      <c r="M15" s="23" t="s">
        <v>137</v>
      </c>
      <c r="N15" s="18" t="s">
        <v>128</v>
      </c>
    </row>
    <row r="16" spans="3:14" ht="15.75" x14ac:dyDescent="0.2">
      <c r="H16" s="21" t="s">
        <v>169</v>
      </c>
      <c r="I16" s="22"/>
      <c r="M16" s="18" t="s">
        <v>18</v>
      </c>
      <c r="N16" s="39">
        <v>1019641.22</v>
      </c>
    </row>
    <row r="17" spans="3:14" x14ac:dyDescent="0.2">
      <c r="H17" s="23" t="s">
        <v>137</v>
      </c>
      <c r="I17" s="18" t="s">
        <v>127</v>
      </c>
      <c r="M17" s="18" t="s">
        <v>138</v>
      </c>
      <c r="N17" s="39">
        <v>1019641.22</v>
      </c>
    </row>
    <row r="18" spans="3:14" x14ac:dyDescent="0.2">
      <c r="H18" s="18" t="s">
        <v>12</v>
      </c>
      <c r="I18" s="39"/>
    </row>
    <row r="19" spans="3:14" ht="15.75" x14ac:dyDescent="0.2">
      <c r="C19" s="21" t="s">
        <v>165</v>
      </c>
      <c r="D19" s="22"/>
      <c r="H19" s="29" t="s">
        <v>13</v>
      </c>
      <c r="I19" s="39">
        <v>4</v>
      </c>
    </row>
    <row r="20" spans="3:14" x14ac:dyDescent="0.2">
      <c r="C20" s="23" t="s">
        <v>137</v>
      </c>
      <c r="D20" s="18" t="s">
        <v>129</v>
      </c>
      <c r="H20" s="29" t="s">
        <v>34</v>
      </c>
      <c r="I20" s="39">
        <v>1</v>
      </c>
    </row>
    <row r="21" spans="3:14" x14ac:dyDescent="0.2">
      <c r="C21" s="18" t="s">
        <v>28</v>
      </c>
      <c r="D21" s="24">
        <v>13</v>
      </c>
      <c r="H21" s="18" t="s">
        <v>56</v>
      </c>
      <c r="I21" s="39"/>
    </row>
    <row r="22" spans="3:14" x14ac:dyDescent="0.2">
      <c r="C22" s="18" t="s">
        <v>138</v>
      </c>
      <c r="D22" s="24">
        <v>13</v>
      </c>
      <c r="H22" s="29" t="s">
        <v>13</v>
      </c>
      <c r="I22" s="39">
        <v>1</v>
      </c>
    </row>
    <row r="23" spans="3:14" ht="15.75" x14ac:dyDescent="0.2">
      <c r="H23" s="29" t="s">
        <v>29</v>
      </c>
      <c r="I23" s="39">
        <v>3</v>
      </c>
      <c r="M23" s="27" t="s">
        <v>172</v>
      </c>
      <c r="N23" s="26"/>
    </row>
    <row r="24" spans="3:14" x14ac:dyDescent="0.2">
      <c r="H24" s="18" t="s">
        <v>18</v>
      </c>
      <c r="I24" s="39"/>
      <c r="M24" s="23" t="s">
        <v>137</v>
      </c>
      <c r="N24" s="18" t="s">
        <v>127</v>
      </c>
    </row>
    <row r="25" spans="3:14" x14ac:dyDescent="0.2">
      <c r="H25" s="29" t="s">
        <v>43</v>
      </c>
      <c r="I25" s="39">
        <v>1</v>
      </c>
      <c r="M25" s="18" t="s">
        <v>23</v>
      </c>
      <c r="N25" s="39">
        <v>3</v>
      </c>
    </row>
    <row r="26" spans="3:14" ht="15.75" x14ac:dyDescent="0.2">
      <c r="C26" s="21" t="s">
        <v>167</v>
      </c>
      <c r="D26" s="21"/>
      <c r="H26" s="29" t="s">
        <v>34</v>
      </c>
      <c r="I26" s="39">
        <v>4</v>
      </c>
      <c r="M26" s="18" t="s">
        <v>138</v>
      </c>
      <c r="N26" s="39">
        <v>3</v>
      </c>
    </row>
    <row r="27" spans="3:14" x14ac:dyDescent="0.2">
      <c r="C27" s="23" t="s">
        <v>137</v>
      </c>
      <c r="D27" s="18" t="s">
        <v>127</v>
      </c>
      <c r="H27" s="29" t="s">
        <v>19</v>
      </c>
      <c r="I27" s="39">
        <v>2</v>
      </c>
    </row>
    <row r="28" spans="3:14" x14ac:dyDescent="0.2">
      <c r="C28" s="18" t="s">
        <v>13</v>
      </c>
      <c r="D28" s="24">
        <v>7</v>
      </c>
      <c r="H28" s="29" t="s">
        <v>29</v>
      </c>
      <c r="I28" s="39">
        <v>2</v>
      </c>
    </row>
    <row r="29" spans="3:14" x14ac:dyDescent="0.2">
      <c r="C29" s="18" t="s">
        <v>138</v>
      </c>
      <c r="D29" s="24">
        <v>7</v>
      </c>
      <c r="H29" s="18" t="s">
        <v>42</v>
      </c>
      <c r="I29" s="39"/>
    </row>
    <row r="30" spans="3:14" x14ac:dyDescent="0.2">
      <c r="H30" s="29" t="s">
        <v>43</v>
      </c>
      <c r="I30" s="39">
        <v>3</v>
      </c>
    </row>
    <row r="31" spans="3:14" x14ac:dyDescent="0.2">
      <c r="H31" s="29" t="s">
        <v>52</v>
      </c>
      <c r="I31" s="39">
        <v>1</v>
      </c>
    </row>
    <row r="32" spans="3:14" ht="15.75" x14ac:dyDescent="0.2">
      <c r="C32" s="21" t="s">
        <v>168</v>
      </c>
      <c r="D32" s="21"/>
      <c r="H32" s="29" t="s">
        <v>19</v>
      </c>
      <c r="I32" s="39">
        <v>1</v>
      </c>
    </row>
    <row r="33" spans="3:9" x14ac:dyDescent="0.2">
      <c r="C33" s="23" t="s">
        <v>137</v>
      </c>
      <c r="D33" s="18" t="s">
        <v>127</v>
      </c>
      <c r="H33" s="18" t="s">
        <v>28</v>
      </c>
      <c r="I33" s="39"/>
    </row>
    <row r="34" spans="3:9" x14ac:dyDescent="0.2">
      <c r="C34" s="18" t="s">
        <v>20</v>
      </c>
      <c r="D34" s="24">
        <v>3</v>
      </c>
      <c r="H34" s="29" t="s">
        <v>29</v>
      </c>
      <c r="I34" s="39">
        <v>2</v>
      </c>
    </row>
    <row r="35" spans="3:9" x14ac:dyDescent="0.2">
      <c r="C35" s="18" t="s">
        <v>44</v>
      </c>
      <c r="D35" s="24">
        <v>3</v>
      </c>
      <c r="H35" s="18" t="s">
        <v>24</v>
      </c>
      <c r="I35" s="39"/>
    </row>
    <row r="36" spans="3:9" x14ac:dyDescent="0.2">
      <c r="C36" s="18" t="s">
        <v>14</v>
      </c>
      <c r="D36" s="24">
        <v>3</v>
      </c>
      <c r="H36" s="29" t="s">
        <v>13</v>
      </c>
      <c r="I36" s="39">
        <v>2</v>
      </c>
    </row>
    <row r="37" spans="3:9" x14ac:dyDescent="0.2">
      <c r="C37" s="18" t="s">
        <v>138</v>
      </c>
      <c r="D37" s="24">
        <v>9</v>
      </c>
      <c r="H37" s="29" t="s">
        <v>52</v>
      </c>
      <c r="I37" s="39">
        <v>1</v>
      </c>
    </row>
    <row r="38" spans="3:9" x14ac:dyDescent="0.2">
      <c r="H38" s="29" t="s">
        <v>19</v>
      </c>
      <c r="I38" s="39">
        <v>2</v>
      </c>
    </row>
    <row r="39" spans="3:9" x14ac:dyDescent="0.2">
      <c r="H39" s="18" t="s">
        <v>138</v>
      </c>
      <c r="I39" s="39">
        <v>30</v>
      </c>
    </row>
    <row r="45" spans="3:9" x14ac:dyDescent="0.2">
      <c r="C45" s="23" t="s">
        <v>137</v>
      </c>
      <c r="D45" s="18" t="s">
        <v>128</v>
      </c>
    </row>
    <row r="46" spans="3:9" x14ac:dyDescent="0.2">
      <c r="C46" s="18">
        <v>1.3</v>
      </c>
      <c r="D46" s="39"/>
    </row>
    <row r="47" spans="3:9" x14ac:dyDescent="0.2">
      <c r="C47" s="29" t="s">
        <v>24</v>
      </c>
      <c r="D47" s="39">
        <v>97023.2</v>
      </c>
    </row>
    <row r="48" spans="3:9" x14ac:dyDescent="0.2">
      <c r="C48" s="18">
        <v>2.1</v>
      </c>
      <c r="D48" s="39"/>
    </row>
    <row r="49" spans="3:4" x14ac:dyDescent="0.2">
      <c r="C49" s="29" t="s">
        <v>42</v>
      </c>
      <c r="D49" s="39">
        <v>60200.45</v>
      </c>
    </row>
    <row r="50" spans="3:4" x14ac:dyDescent="0.2">
      <c r="C50" s="18">
        <v>2.5</v>
      </c>
      <c r="D50" s="39"/>
    </row>
    <row r="51" spans="3:4" x14ac:dyDescent="0.2">
      <c r="C51" s="29" t="s">
        <v>18</v>
      </c>
      <c r="D51" s="39">
        <v>125700.85</v>
      </c>
    </row>
    <row r="52" spans="3:4" x14ac:dyDescent="0.2">
      <c r="C52" s="18">
        <v>3.1</v>
      </c>
      <c r="D52" s="39"/>
    </row>
    <row r="53" spans="3:4" x14ac:dyDescent="0.2">
      <c r="C53" s="29" t="s">
        <v>24</v>
      </c>
      <c r="D53" s="39">
        <v>58200.800000000003</v>
      </c>
    </row>
    <row r="54" spans="3:4" x14ac:dyDescent="0.2">
      <c r="C54" s="18">
        <v>3.3</v>
      </c>
      <c r="D54" s="39"/>
    </row>
    <row r="55" spans="3:4" x14ac:dyDescent="0.2">
      <c r="C55" s="29" t="s">
        <v>18</v>
      </c>
      <c r="D55" s="39">
        <v>104500.7</v>
      </c>
    </row>
    <row r="56" spans="3:4" x14ac:dyDescent="0.2">
      <c r="C56" s="18">
        <v>3.9</v>
      </c>
      <c r="D56" s="39"/>
    </row>
    <row r="57" spans="3:4" x14ac:dyDescent="0.2">
      <c r="C57" s="29" t="s">
        <v>24</v>
      </c>
      <c r="D57" s="39">
        <v>112300.65</v>
      </c>
    </row>
    <row r="58" spans="3:4" x14ac:dyDescent="0.2">
      <c r="C58" s="18">
        <v>4</v>
      </c>
      <c r="D58" s="39"/>
    </row>
    <row r="59" spans="3:4" x14ac:dyDescent="0.2">
      <c r="C59" s="29" t="s">
        <v>56</v>
      </c>
      <c r="D59" s="39">
        <v>71500.55</v>
      </c>
    </row>
    <row r="60" spans="3:4" x14ac:dyDescent="0.2">
      <c r="C60" s="18">
        <v>4.5</v>
      </c>
      <c r="D60" s="39"/>
    </row>
    <row r="61" spans="3:4" x14ac:dyDescent="0.2">
      <c r="C61" s="29" t="s">
        <v>18</v>
      </c>
      <c r="D61" s="39">
        <v>115450.5</v>
      </c>
    </row>
    <row r="62" spans="3:4" x14ac:dyDescent="0.2">
      <c r="C62" s="18">
        <v>5.2</v>
      </c>
      <c r="D62" s="39"/>
    </row>
    <row r="63" spans="3:4" x14ac:dyDescent="0.2">
      <c r="C63" s="29" t="s">
        <v>42</v>
      </c>
      <c r="D63" s="39">
        <v>69800.25</v>
      </c>
    </row>
    <row r="64" spans="3:4" x14ac:dyDescent="0.2">
      <c r="C64" s="18">
        <v>5.4</v>
      </c>
      <c r="D64" s="39"/>
    </row>
    <row r="65" spans="3:4" x14ac:dyDescent="0.2">
      <c r="C65" s="29" t="s">
        <v>18</v>
      </c>
      <c r="D65" s="39">
        <v>115800</v>
      </c>
    </row>
    <row r="66" spans="3:4" x14ac:dyDescent="0.2">
      <c r="C66" s="18">
        <v>5.7</v>
      </c>
      <c r="D66" s="39"/>
    </row>
    <row r="67" spans="3:4" x14ac:dyDescent="0.2">
      <c r="C67" s="29" t="s">
        <v>18</v>
      </c>
      <c r="D67" s="39">
        <v>68500.899999999994</v>
      </c>
    </row>
    <row r="68" spans="3:4" x14ac:dyDescent="0.2">
      <c r="C68" s="18">
        <v>6.1</v>
      </c>
      <c r="D68" s="39"/>
    </row>
    <row r="69" spans="3:4" x14ac:dyDescent="0.2">
      <c r="C69" s="29" t="s">
        <v>42</v>
      </c>
      <c r="D69" s="39">
        <v>76500.2</v>
      </c>
    </row>
    <row r="70" spans="3:4" x14ac:dyDescent="0.2">
      <c r="C70" s="18">
        <v>6.9</v>
      </c>
      <c r="D70" s="39"/>
    </row>
    <row r="71" spans="3:4" x14ac:dyDescent="0.2">
      <c r="C71" s="29" t="s">
        <v>56</v>
      </c>
      <c r="D71" s="39">
        <v>78200.350000000006</v>
      </c>
    </row>
    <row r="72" spans="3:4" x14ac:dyDescent="0.2">
      <c r="C72" s="18">
        <v>7.3</v>
      </c>
      <c r="D72" s="39"/>
    </row>
    <row r="73" spans="3:4" x14ac:dyDescent="0.2">
      <c r="C73" s="29" t="s">
        <v>12</v>
      </c>
      <c r="D73" s="39">
        <v>99800.75</v>
      </c>
    </row>
    <row r="74" spans="3:4" x14ac:dyDescent="0.2">
      <c r="C74" s="18">
        <v>7.7</v>
      </c>
      <c r="D74" s="39"/>
    </row>
    <row r="75" spans="3:4" x14ac:dyDescent="0.2">
      <c r="C75" s="29" t="s">
        <v>12</v>
      </c>
      <c r="D75" s="39">
        <v>93600.6</v>
      </c>
    </row>
    <row r="76" spans="3:4" x14ac:dyDescent="0.2">
      <c r="C76" s="18">
        <v>8.1999999999999993</v>
      </c>
      <c r="D76" s="39"/>
    </row>
    <row r="77" spans="3:4" x14ac:dyDescent="0.2">
      <c r="C77" s="29" t="s">
        <v>24</v>
      </c>
      <c r="D77" s="39">
        <v>74500.350000000006</v>
      </c>
    </row>
    <row r="78" spans="3:4" x14ac:dyDescent="0.2">
      <c r="C78" s="18">
        <v>8.5</v>
      </c>
      <c r="D78" s="39"/>
    </row>
    <row r="79" spans="3:4" x14ac:dyDescent="0.2">
      <c r="C79" s="29" t="s">
        <v>18</v>
      </c>
      <c r="D79" s="39">
        <v>121300.1</v>
      </c>
    </row>
    <row r="80" spans="3:4" x14ac:dyDescent="0.2">
      <c r="C80" s="18">
        <v>9.5</v>
      </c>
      <c r="D80" s="39"/>
    </row>
    <row r="81" spans="3:4" x14ac:dyDescent="0.2">
      <c r="C81" s="29" t="s">
        <v>42</v>
      </c>
      <c r="D81" s="39">
        <v>85000.65</v>
      </c>
    </row>
    <row r="82" spans="3:4" x14ac:dyDescent="0.2">
      <c r="C82" s="18">
        <v>9.6999999999999993</v>
      </c>
      <c r="D82" s="39"/>
    </row>
    <row r="83" spans="3:4" x14ac:dyDescent="0.2">
      <c r="C83" s="29" t="s">
        <v>12</v>
      </c>
      <c r="D83" s="39">
        <v>98400.75</v>
      </c>
    </row>
    <row r="84" spans="3:4" x14ac:dyDescent="0.2">
      <c r="C84" s="18">
        <v>9.9</v>
      </c>
      <c r="D84" s="39"/>
    </row>
    <row r="85" spans="3:4" x14ac:dyDescent="0.2">
      <c r="C85" s="29" t="s">
        <v>56</v>
      </c>
      <c r="D85" s="39">
        <v>81000.55</v>
      </c>
    </row>
    <row r="86" spans="3:4" x14ac:dyDescent="0.2">
      <c r="C86" s="18">
        <v>10.199999999999999</v>
      </c>
      <c r="D86" s="39"/>
    </row>
    <row r="87" spans="3:4" x14ac:dyDescent="0.2">
      <c r="C87" s="29" t="s">
        <v>24</v>
      </c>
      <c r="D87" s="39">
        <v>109500.25</v>
      </c>
    </row>
    <row r="88" spans="3:4" x14ac:dyDescent="0.2">
      <c r="C88" s="18">
        <v>11.1</v>
      </c>
      <c r="D88" s="39"/>
    </row>
    <row r="89" spans="3:4" x14ac:dyDescent="0.2">
      <c r="C89" s="29" t="s">
        <v>18</v>
      </c>
      <c r="D89" s="39">
        <v>128300.2</v>
      </c>
    </row>
    <row r="90" spans="3:4" x14ac:dyDescent="0.2">
      <c r="C90" s="18">
        <v>11.4</v>
      </c>
      <c r="D90" s="39"/>
    </row>
    <row r="91" spans="3:4" x14ac:dyDescent="0.2">
      <c r="C91" s="29" t="s">
        <v>28</v>
      </c>
      <c r="D91" s="39">
        <v>125500</v>
      </c>
    </row>
    <row r="92" spans="3:4" x14ac:dyDescent="0.2">
      <c r="C92" s="18">
        <v>12</v>
      </c>
      <c r="D92" s="39"/>
    </row>
    <row r="93" spans="3:4" x14ac:dyDescent="0.2">
      <c r="C93" s="29" t="s">
        <v>18</v>
      </c>
      <c r="D93" s="39">
        <v>134200</v>
      </c>
    </row>
    <row r="94" spans="3:4" x14ac:dyDescent="0.2">
      <c r="C94" s="18">
        <v>12.7</v>
      </c>
      <c r="D94" s="39"/>
    </row>
    <row r="95" spans="3:4" x14ac:dyDescent="0.2">
      <c r="C95" s="29" t="s">
        <v>42</v>
      </c>
      <c r="D95" s="39">
        <v>99500.75</v>
      </c>
    </row>
    <row r="96" spans="3:4" x14ac:dyDescent="0.2">
      <c r="C96" s="18">
        <v>13.1</v>
      </c>
      <c r="D96" s="39"/>
    </row>
    <row r="97" spans="3:4" x14ac:dyDescent="0.2">
      <c r="C97" s="29" t="s">
        <v>12</v>
      </c>
      <c r="D97" s="39">
        <v>78960.73</v>
      </c>
    </row>
    <row r="98" spans="3:4" x14ac:dyDescent="0.2">
      <c r="C98" s="18">
        <v>14.2</v>
      </c>
      <c r="D98" s="39"/>
    </row>
    <row r="99" spans="3:4" x14ac:dyDescent="0.2">
      <c r="C99" s="29" t="s">
        <v>56</v>
      </c>
      <c r="D99" s="39">
        <v>89400.8</v>
      </c>
    </row>
    <row r="100" spans="3:4" x14ac:dyDescent="0.2">
      <c r="C100" s="18">
        <v>14.6</v>
      </c>
      <c r="D100" s="39"/>
    </row>
    <row r="101" spans="3:4" x14ac:dyDescent="0.2">
      <c r="C101" s="29" t="s">
        <v>28</v>
      </c>
      <c r="D101" s="39">
        <v>134800.95000000001</v>
      </c>
    </row>
    <row r="102" spans="3:4" x14ac:dyDescent="0.2">
      <c r="C102" s="18">
        <v>14.8</v>
      </c>
      <c r="D102" s="39"/>
    </row>
    <row r="103" spans="3:4" x14ac:dyDescent="0.2">
      <c r="C103" s="29" t="s">
        <v>18</v>
      </c>
      <c r="D103" s="39">
        <v>105887.97</v>
      </c>
    </row>
    <row r="104" spans="3:4" x14ac:dyDescent="0.2">
      <c r="C104" s="18">
        <v>15</v>
      </c>
      <c r="D104" s="39"/>
    </row>
    <row r="105" spans="3:4" x14ac:dyDescent="0.2">
      <c r="C105" s="29" t="s">
        <v>12</v>
      </c>
      <c r="D105" s="39">
        <v>88000.4</v>
      </c>
    </row>
    <row r="106" spans="3:4" x14ac:dyDescent="0.2">
      <c r="C106" s="18" t="s">
        <v>138</v>
      </c>
      <c r="D106" s="39">
        <v>2901335.2</v>
      </c>
    </row>
  </sheetData>
  <mergeCells count="9">
    <mergeCell ref="M2:N2"/>
    <mergeCell ref="M14:N14"/>
    <mergeCell ref="M23:N23"/>
    <mergeCell ref="C3:D3"/>
    <mergeCell ref="C19:D19"/>
    <mergeCell ref="H2:I2"/>
    <mergeCell ref="C26:D26"/>
    <mergeCell ref="C32:D32"/>
    <mergeCell ref="H16:I16"/>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09F9-A004-4685-8DC2-21684917EEBC}">
  <dimension ref="A1"/>
  <sheetViews>
    <sheetView showGridLines="0" showRowColHeaders="0" tabSelected="1" topLeftCell="L1" zoomScale="30" zoomScaleNormal="30" workbookViewId="0">
      <selection activeCell="DO65" sqref="DO65"/>
    </sheetView>
  </sheetViews>
  <sheetFormatPr defaultRowHeight="12.75" x14ac:dyDescent="0.2"/>
  <cols>
    <col min="1" max="16384" width="9.332031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workbookViewId="0">
      <selection activeCell="O20" sqref="O20"/>
    </sheetView>
  </sheetViews>
  <sheetFormatPr defaultRowHeight="12.75" x14ac:dyDescent="0.2"/>
  <cols>
    <col min="1" max="1" width="10.33203125" customWidth="1"/>
    <col min="2" max="2" width="17" style="7" bestFit="1" customWidth="1"/>
    <col min="3" max="3" width="19.6640625" style="7" bestFit="1" customWidth="1"/>
    <col min="4" max="4" width="14.33203125" style="7" customWidth="1"/>
    <col min="5" max="5" width="12" style="1" customWidth="1"/>
    <col min="6" max="6" width="14" style="11" bestFit="1" customWidth="1"/>
    <col min="7" max="7" width="19" style="14" customWidth="1"/>
    <col min="8" max="8" width="11.1640625" style="7" customWidth="1"/>
    <col min="9" max="9" width="13.83203125" style="7" bestFit="1" customWidth="1"/>
    <col min="10" max="10" width="37.33203125" customWidth="1"/>
    <col min="11" max="11" width="29" customWidth="1"/>
  </cols>
  <sheetData>
    <row r="1" spans="1:11" ht="16.5" customHeight="1" x14ac:dyDescent="0.2">
      <c r="A1" s="4" t="s">
        <v>0</v>
      </c>
      <c r="B1" s="5" t="s">
        <v>1</v>
      </c>
      <c r="C1" s="5" t="s">
        <v>2</v>
      </c>
      <c r="D1" s="5" t="s">
        <v>3</v>
      </c>
      <c r="E1" s="8" t="s">
        <v>4</v>
      </c>
      <c r="F1" s="9" t="s">
        <v>5</v>
      </c>
      <c r="G1" s="12" t="s">
        <v>6</v>
      </c>
      <c r="H1" s="5" t="s">
        <v>7</v>
      </c>
      <c r="I1" s="5" t="s">
        <v>8</v>
      </c>
      <c r="J1" s="41" t="s">
        <v>174</v>
      </c>
      <c r="K1" s="41" t="s">
        <v>173</v>
      </c>
    </row>
    <row r="2" spans="1:11" ht="16.5" customHeight="1" x14ac:dyDescent="0.2">
      <c r="A2" s="2" t="s">
        <v>9</v>
      </c>
      <c r="B2" s="6" t="s">
        <v>10</v>
      </c>
      <c r="C2" s="6" t="s">
        <v>11</v>
      </c>
      <c r="D2" s="6" t="s">
        <v>12</v>
      </c>
      <c r="E2" s="3">
        <v>40953</v>
      </c>
      <c r="F2" s="10">
        <v>78960.73</v>
      </c>
      <c r="G2" s="13">
        <v>13.1</v>
      </c>
      <c r="H2" s="6" t="s">
        <v>13</v>
      </c>
      <c r="I2" s="6" t="s">
        <v>14</v>
      </c>
      <c r="J2" s="40">
        <f>AVERAGEIF($C:$C,C2,$F:$F)</f>
        <v>78580.540000000008</v>
      </c>
      <c r="K2" s="40" t="str">
        <f>IF(Table1[[#This Row],[Salary]]&gt;Table1[[#This Row],[Department Average Salary]],"High Class", "Low Class")</f>
        <v>High Class</v>
      </c>
    </row>
    <row r="3" spans="1:11" ht="16.5" customHeight="1" x14ac:dyDescent="0.2">
      <c r="A3" s="2" t="s">
        <v>15</v>
      </c>
      <c r="B3" s="6" t="s">
        <v>16</v>
      </c>
      <c r="C3" s="6" t="s">
        <v>17</v>
      </c>
      <c r="D3" s="6" t="s">
        <v>18</v>
      </c>
      <c r="E3" s="3">
        <v>43380</v>
      </c>
      <c r="F3" s="10">
        <v>105887.97</v>
      </c>
      <c r="G3" s="13">
        <v>14.8</v>
      </c>
      <c r="H3" s="6" t="s">
        <v>19</v>
      </c>
      <c r="I3" s="6" t="s">
        <v>20</v>
      </c>
      <c r="J3" s="40">
        <f t="shared" ref="J2:J31" si="0">AVERAGEIF($C:$C,C3,$F:$F)</f>
        <v>102844.36</v>
      </c>
      <c r="K3" s="40" t="str">
        <f>IF(Table1[[#This Row],[Salary]]&gt;Table1[[#This Row],[Department Average Salary]],"High Class", "Low Class")</f>
        <v>High Class</v>
      </c>
    </row>
    <row r="4" spans="1:11" ht="16.5" customHeight="1" x14ac:dyDescent="0.2">
      <c r="A4" s="2" t="s">
        <v>21</v>
      </c>
      <c r="B4" s="6" t="s">
        <v>22</v>
      </c>
      <c r="C4" s="6" t="s">
        <v>23</v>
      </c>
      <c r="D4" s="6" t="s">
        <v>24</v>
      </c>
      <c r="E4" s="3">
        <v>43762</v>
      </c>
      <c r="F4" s="10">
        <v>97023.2</v>
      </c>
      <c r="G4" s="13">
        <v>1.3</v>
      </c>
      <c r="H4" s="6" t="s">
        <v>13</v>
      </c>
      <c r="I4" s="6" t="s">
        <v>20</v>
      </c>
      <c r="J4" s="40">
        <f t="shared" si="0"/>
        <v>107441.15000000001</v>
      </c>
      <c r="K4" s="40" t="str">
        <f>IF(Table1[[#This Row],[Salary]]&gt;Table1[[#This Row],[Department Average Salary]],"High Class", "Low Class")</f>
        <v>Low Class</v>
      </c>
    </row>
    <row r="5" spans="1:11" ht="16.5" customHeight="1" x14ac:dyDescent="0.2">
      <c r="A5" s="2" t="s">
        <v>25</v>
      </c>
      <c r="B5" s="6" t="s">
        <v>26</v>
      </c>
      <c r="C5" s="6" t="s">
        <v>27</v>
      </c>
      <c r="D5" s="6" t="s">
        <v>28</v>
      </c>
      <c r="E5" s="3">
        <v>42522</v>
      </c>
      <c r="F5" s="10">
        <v>125500</v>
      </c>
      <c r="G5" s="13">
        <v>11.4</v>
      </c>
      <c r="H5" s="6" t="s">
        <v>29</v>
      </c>
      <c r="I5" s="6" t="s">
        <v>30</v>
      </c>
      <c r="J5" s="40">
        <f t="shared" si="0"/>
        <v>125500</v>
      </c>
      <c r="K5" s="40" t="str">
        <f>IF(Table1[[#This Row],[Salary]]&gt;Table1[[#This Row],[Department Average Salary]],"High Class", "Low Class")</f>
        <v>Low Class</v>
      </c>
    </row>
    <row r="6" spans="1:11" ht="16.5" customHeight="1" x14ac:dyDescent="0.2">
      <c r="A6" s="2" t="s">
        <v>31</v>
      </c>
      <c r="B6" s="6" t="s">
        <v>32</v>
      </c>
      <c r="C6" s="6" t="s">
        <v>33</v>
      </c>
      <c r="D6" s="6" t="s">
        <v>18</v>
      </c>
      <c r="E6" s="3">
        <v>43905</v>
      </c>
      <c r="F6" s="10">
        <v>115450.5</v>
      </c>
      <c r="G6" s="13">
        <v>4.5</v>
      </c>
      <c r="H6" s="6" t="s">
        <v>34</v>
      </c>
      <c r="I6" s="6" t="s">
        <v>35</v>
      </c>
      <c r="J6" s="40">
        <f t="shared" si="0"/>
        <v>120575.675</v>
      </c>
      <c r="K6" s="40" t="str">
        <f>IF(Table1[[#This Row],[Salary]]&gt;Table1[[#This Row],[Department Average Salary]],"High Class", "Low Class")</f>
        <v>Low Class</v>
      </c>
    </row>
    <row r="7" spans="1:11" ht="16.5" customHeight="1" x14ac:dyDescent="0.2">
      <c r="A7" s="2" t="s">
        <v>36</v>
      </c>
      <c r="B7" s="6" t="s">
        <v>37</v>
      </c>
      <c r="C7" s="6" t="s">
        <v>38</v>
      </c>
      <c r="D7" s="6" t="s">
        <v>12</v>
      </c>
      <c r="E7" s="3">
        <v>42268</v>
      </c>
      <c r="F7" s="10">
        <v>98400.75</v>
      </c>
      <c r="G7" s="13">
        <v>9.6999999999999993</v>
      </c>
      <c r="H7" s="6" t="s">
        <v>13</v>
      </c>
      <c r="I7" s="6" t="s">
        <v>14</v>
      </c>
      <c r="J7" s="40">
        <f t="shared" si="0"/>
        <v>96000.675000000003</v>
      </c>
      <c r="K7" s="40" t="str">
        <f>IF(Table1[[#This Row],[Salary]]&gt;Table1[[#This Row],[Department Average Salary]],"High Class", "Low Class")</f>
        <v>High Class</v>
      </c>
    </row>
    <row r="8" spans="1:11" ht="16.5" customHeight="1" x14ac:dyDescent="0.2">
      <c r="A8" s="2" t="s">
        <v>39</v>
      </c>
      <c r="B8" s="6" t="s">
        <v>40</v>
      </c>
      <c r="C8" s="6" t="s">
        <v>41</v>
      </c>
      <c r="D8" s="6" t="s">
        <v>42</v>
      </c>
      <c r="E8" s="3">
        <v>43080</v>
      </c>
      <c r="F8" s="10">
        <v>76500.2</v>
      </c>
      <c r="G8" s="13">
        <v>6.1</v>
      </c>
      <c r="H8" s="6" t="s">
        <v>43</v>
      </c>
      <c r="I8" s="6" t="s">
        <v>44</v>
      </c>
      <c r="J8" s="40">
        <f t="shared" si="0"/>
        <v>76500.2</v>
      </c>
      <c r="K8" s="40" t="str">
        <f>IF(Table1[[#This Row],[Salary]]&gt;Table1[[#This Row],[Department Average Salary]],"High Class", "Low Class")</f>
        <v>Low Class</v>
      </c>
    </row>
    <row r="9" spans="1:11" ht="16.5" customHeight="1" x14ac:dyDescent="0.2">
      <c r="A9" s="2" t="s">
        <v>45</v>
      </c>
      <c r="B9" s="6" t="s">
        <v>46</v>
      </c>
      <c r="C9" s="6" t="s">
        <v>47</v>
      </c>
      <c r="D9" s="6" t="s">
        <v>18</v>
      </c>
      <c r="E9" s="3">
        <v>41845</v>
      </c>
      <c r="F9" s="10">
        <v>134200</v>
      </c>
      <c r="G9" s="13">
        <v>12</v>
      </c>
      <c r="H9" s="6" t="s">
        <v>29</v>
      </c>
      <c r="I9" s="6" t="s">
        <v>48</v>
      </c>
      <c r="J9" s="40">
        <f t="shared" si="0"/>
        <v>119350.35</v>
      </c>
      <c r="K9" s="40" t="str">
        <f>IF(Table1[[#This Row],[Salary]]&gt;Table1[[#This Row],[Department Average Salary]],"High Class", "Low Class")</f>
        <v>High Class</v>
      </c>
    </row>
    <row r="10" spans="1:11" ht="16.5" customHeight="1" x14ac:dyDescent="0.2">
      <c r="A10" s="2" t="s">
        <v>49</v>
      </c>
      <c r="B10" s="6" t="s">
        <v>50</v>
      </c>
      <c r="C10" s="6" t="s">
        <v>51</v>
      </c>
      <c r="D10" s="6" t="s">
        <v>24</v>
      </c>
      <c r="E10" s="3">
        <v>43474</v>
      </c>
      <c r="F10" s="10">
        <v>112300.65</v>
      </c>
      <c r="G10" s="13">
        <v>3.9</v>
      </c>
      <c r="H10" s="6" t="s">
        <v>52</v>
      </c>
      <c r="I10" s="6" t="s">
        <v>20</v>
      </c>
      <c r="J10" s="40">
        <f t="shared" si="0"/>
        <v>112300.65</v>
      </c>
      <c r="K10" s="40" t="str">
        <f>IF(Table1[[#This Row],[Salary]]&gt;Table1[[#This Row],[Department Average Salary]],"High Class", "Low Class")</f>
        <v>Low Class</v>
      </c>
    </row>
    <row r="11" spans="1:11" ht="16.5" customHeight="1" x14ac:dyDescent="0.2">
      <c r="A11" s="2" t="s">
        <v>53</v>
      </c>
      <c r="B11" s="6" t="s">
        <v>54</v>
      </c>
      <c r="C11" s="6" t="s">
        <v>55</v>
      </c>
      <c r="D11" s="6" t="s">
        <v>56</v>
      </c>
      <c r="E11" s="3">
        <v>41424</v>
      </c>
      <c r="F11" s="10">
        <v>89400.8</v>
      </c>
      <c r="G11" s="13">
        <v>14.2</v>
      </c>
      <c r="H11" s="6" t="s">
        <v>13</v>
      </c>
      <c r="I11" s="6" t="s">
        <v>57</v>
      </c>
      <c r="J11" s="40">
        <f t="shared" si="0"/>
        <v>89400.8</v>
      </c>
      <c r="K11" s="40" t="str">
        <f>IF(Table1[[#This Row],[Salary]]&gt;Table1[[#This Row],[Department Average Salary]],"High Class", "Low Class")</f>
        <v>Low Class</v>
      </c>
    </row>
    <row r="12" spans="1:11" ht="16.5" customHeight="1" x14ac:dyDescent="0.2">
      <c r="A12" s="2" t="s">
        <v>58</v>
      </c>
      <c r="B12" s="6" t="s">
        <v>59</v>
      </c>
      <c r="C12" s="6" t="s">
        <v>60</v>
      </c>
      <c r="D12" s="6" t="s">
        <v>18</v>
      </c>
      <c r="E12" s="3">
        <v>43148</v>
      </c>
      <c r="F12" s="10">
        <v>68500.899999999994</v>
      </c>
      <c r="G12" s="13">
        <v>5.7</v>
      </c>
      <c r="H12" s="6" t="s">
        <v>29</v>
      </c>
      <c r="I12" s="6" t="s">
        <v>61</v>
      </c>
      <c r="J12" s="40">
        <f t="shared" si="0"/>
        <v>68500.899999999994</v>
      </c>
      <c r="K12" s="40" t="str">
        <f>IF(Table1[[#This Row],[Salary]]&gt;Table1[[#This Row],[Department Average Salary]],"High Class", "Low Class")</f>
        <v>Low Class</v>
      </c>
    </row>
    <row r="13" spans="1:11" ht="16.5" customHeight="1" x14ac:dyDescent="0.2">
      <c r="A13" s="2" t="s">
        <v>62</v>
      </c>
      <c r="B13" s="6" t="s">
        <v>63</v>
      </c>
      <c r="C13" s="6" t="s">
        <v>64</v>
      </c>
      <c r="D13" s="6" t="s">
        <v>42</v>
      </c>
      <c r="E13" s="3">
        <v>44367</v>
      </c>
      <c r="F13" s="10">
        <v>60200.45</v>
      </c>
      <c r="G13" s="13">
        <v>2.1</v>
      </c>
      <c r="H13" s="6" t="s">
        <v>43</v>
      </c>
      <c r="I13" s="6" t="s">
        <v>65</v>
      </c>
      <c r="J13" s="40">
        <f t="shared" si="0"/>
        <v>60200.45</v>
      </c>
      <c r="K13" s="40" t="str">
        <f>IF(Table1[[#This Row],[Salary]]&gt;Table1[[#This Row],[Department Average Salary]],"High Class", "Low Class")</f>
        <v>Low Class</v>
      </c>
    </row>
    <row r="14" spans="1:11" ht="16.5" customHeight="1" x14ac:dyDescent="0.2">
      <c r="A14" s="2" t="s">
        <v>66</v>
      </c>
      <c r="B14" s="6" t="s">
        <v>67</v>
      </c>
      <c r="C14" s="6" t="s">
        <v>68</v>
      </c>
      <c r="D14" s="6" t="s">
        <v>18</v>
      </c>
      <c r="E14" s="3">
        <v>42587</v>
      </c>
      <c r="F14" s="10">
        <v>121300.1</v>
      </c>
      <c r="G14" s="13">
        <v>8.5</v>
      </c>
      <c r="H14" s="6" t="s">
        <v>34</v>
      </c>
      <c r="I14" s="6" t="s">
        <v>69</v>
      </c>
      <c r="J14" s="40">
        <f t="shared" si="0"/>
        <v>121300.1</v>
      </c>
      <c r="K14" s="40" t="str">
        <f>IF(Table1[[#This Row],[Salary]]&gt;Table1[[#This Row],[Department Average Salary]],"High Class", "Low Class")</f>
        <v>Low Class</v>
      </c>
    </row>
    <row r="15" spans="1:11" ht="16.5" customHeight="1" x14ac:dyDescent="0.2">
      <c r="A15" s="2" t="s">
        <v>70</v>
      </c>
      <c r="B15" s="6" t="s">
        <v>71</v>
      </c>
      <c r="C15" s="6" t="s">
        <v>17</v>
      </c>
      <c r="D15" s="6" t="s">
        <v>12</v>
      </c>
      <c r="E15" s="3">
        <v>43027</v>
      </c>
      <c r="F15" s="10">
        <v>99800.75</v>
      </c>
      <c r="G15" s="13">
        <v>7.3</v>
      </c>
      <c r="H15" s="6" t="s">
        <v>13</v>
      </c>
      <c r="I15" s="6" t="s">
        <v>72</v>
      </c>
      <c r="J15" s="40">
        <f t="shared" si="0"/>
        <v>102844.36</v>
      </c>
      <c r="K15" s="40" t="str">
        <f>IF(Table1[[#This Row],[Salary]]&gt;Table1[[#This Row],[Department Average Salary]],"High Class", "Low Class")</f>
        <v>Low Class</v>
      </c>
    </row>
    <row r="16" spans="1:11" ht="16.5" customHeight="1" x14ac:dyDescent="0.2">
      <c r="A16" s="2" t="s">
        <v>73</v>
      </c>
      <c r="B16" s="6" t="s">
        <v>74</v>
      </c>
      <c r="C16" s="6" t="s">
        <v>23</v>
      </c>
      <c r="D16" s="6" t="s">
        <v>24</v>
      </c>
      <c r="E16" s="3">
        <v>41968</v>
      </c>
      <c r="F16" s="10">
        <v>109500.25</v>
      </c>
      <c r="G16" s="13">
        <v>10.199999999999999</v>
      </c>
      <c r="H16" s="6" t="s">
        <v>19</v>
      </c>
      <c r="I16" s="6" t="s">
        <v>75</v>
      </c>
      <c r="J16" s="40">
        <f t="shared" si="0"/>
        <v>107441.15000000001</v>
      </c>
      <c r="K16" s="40" t="str">
        <f>IF(Table1[[#This Row],[Salary]]&gt;Table1[[#This Row],[Department Average Salary]],"High Class", "Low Class")</f>
        <v>High Class</v>
      </c>
    </row>
    <row r="17" spans="1:11" ht="16.5" customHeight="1" x14ac:dyDescent="0.2">
      <c r="A17" s="2" t="s">
        <v>76</v>
      </c>
      <c r="B17" s="6" t="s">
        <v>77</v>
      </c>
      <c r="C17" s="6" t="s">
        <v>78</v>
      </c>
      <c r="D17" s="6" t="s">
        <v>56</v>
      </c>
      <c r="E17" s="3">
        <v>43569</v>
      </c>
      <c r="F17" s="10">
        <v>71500.55</v>
      </c>
      <c r="G17" s="13">
        <v>4</v>
      </c>
      <c r="H17" s="6" t="s">
        <v>29</v>
      </c>
      <c r="I17" s="6" t="s">
        <v>79</v>
      </c>
      <c r="J17" s="40">
        <f t="shared" si="0"/>
        <v>71500.55</v>
      </c>
      <c r="K17" s="40" t="str">
        <f>IF(Table1[[#This Row],[Salary]]&gt;Table1[[#This Row],[Department Average Salary]],"High Class", "Low Class")</f>
        <v>Low Class</v>
      </c>
    </row>
    <row r="18" spans="1:11" ht="16.5" customHeight="1" x14ac:dyDescent="0.2">
      <c r="A18" s="2" t="s">
        <v>80</v>
      </c>
      <c r="B18" s="6" t="s">
        <v>81</v>
      </c>
      <c r="C18" s="6" t="s">
        <v>82</v>
      </c>
      <c r="D18" s="6" t="s">
        <v>42</v>
      </c>
      <c r="E18" s="3">
        <v>42013</v>
      </c>
      <c r="F18" s="10">
        <v>85000.65</v>
      </c>
      <c r="G18" s="13">
        <v>9.5</v>
      </c>
      <c r="H18" s="6" t="s">
        <v>43</v>
      </c>
      <c r="I18" s="6" t="s">
        <v>44</v>
      </c>
      <c r="J18" s="40">
        <f t="shared" si="0"/>
        <v>85000.65</v>
      </c>
      <c r="K18" s="40" t="str">
        <f>IF(Table1[[#This Row],[Salary]]&gt;Table1[[#This Row],[Department Average Salary]],"High Class", "Low Class")</f>
        <v>Low Class</v>
      </c>
    </row>
    <row r="19" spans="1:11" ht="16.5" customHeight="1" x14ac:dyDescent="0.2">
      <c r="A19" s="2" t="s">
        <v>83</v>
      </c>
      <c r="B19" s="6" t="s">
        <v>84</v>
      </c>
      <c r="C19" s="6" t="s">
        <v>33</v>
      </c>
      <c r="D19" s="6" t="s">
        <v>18</v>
      </c>
      <c r="E19" s="3">
        <v>44755</v>
      </c>
      <c r="F19" s="10">
        <v>125700.85</v>
      </c>
      <c r="G19" s="13">
        <v>2.5</v>
      </c>
      <c r="H19" s="6" t="s">
        <v>34</v>
      </c>
      <c r="I19" s="6" t="s">
        <v>85</v>
      </c>
      <c r="J19" s="40">
        <f t="shared" si="0"/>
        <v>120575.675</v>
      </c>
      <c r="K19" s="40" t="str">
        <f>IF(Table1[[#This Row],[Salary]]&gt;Table1[[#This Row],[Department Average Salary]],"High Class", "Low Class")</f>
        <v>High Class</v>
      </c>
    </row>
    <row r="20" spans="1:11" ht="16.5" customHeight="1" x14ac:dyDescent="0.2">
      <c r="A20" s="2" t="s">
        <v>86</v>
      </c>
      <c r="B20" s="6" t="s">
        <v>87</v>
      </c>
      <c r="C20" s="6" t="s">
        <v>88</v>
      </c>
      <c r="D20" s="6" t="s">
        <v>12</v>
      </c>
      <c r="E20" s="3">
        <v>41351</v>
      </c>
      <c r="F20" s="10">
        <v>88000.4</v>
      </c>
      <c r="G20" s="13">
        <v>15</v>
      </c>
      <c r="H20" s="6" t="s">
        <v>13</v>
      </c>
      <c r="I20" s="6" t="s">
        <v>14</v>
      </c>
      <c r="J20" s="40">
        <f t="shared" si="0"/>
        <v>88000.4</v>
      </c>
      <c r="K20" s="40" t="str">
        <f>IF(Table1[[#This Row],[Salary]]&gt;Table1[[#This Row],[Department Average Salary]],"High Class", "Low Class")</f>
        <v>Low Class</v>
      </c>
    </row>
    <row r="21" spans="1:11" ht="16.5" customHeight="1" x14ac:dyDescent="0.2">
      <c r="A21" s="2" t="s">
        <v>89</v>
      </c>
      <c r="B21" s="6" t="s">
        <v>90</v>
      </c>
      <c r="C21" s="6" t="s">
        <v>47</v>
      </c>
      <c r="D21" s="6" t="s">
        <v>18</v>
      </c>
      <c r="E21" s="3">
        <v>44072</v>
      </c>
      <c r="F21" s="10">
        <v>104500.7</v>
      </c>
      <c r="G21" s="13">
        <v>3.3</v>
      </c>
      <c r="H21" s="6" t="s">
        <v>19</v>
      </c>
      <c r="I21" s="6" t="s">
        <v>91</v>
      </c>
      <c r="J21" s="40">
        <f t="shared" si="0"/>
        <v>119350.35</v>
      </c>
      <c r="K21" s="40" t="str">
        <f>IF(Table1[[#This Row],[Salary]]&gt;Table1[[#This Row],[Department Average Salary]],"High Class", "Low Class")</f>
        <v>Low Class</v>
      </c>
    </row>
    <row r="22" spans="1:11" ht="16.5" customHeight="1" x14ac:dyDescent="0.2">
      <c r="A22" s="2" t="s">
        <v>92</v>
      </c>
      <c r="B22" s="6" t="s">
        <v>93</v>
      </c>
      <c r="C22" s="6" t="s">
        <v>11</v>
      </c>
      <c r="D22" s="6" t="s">
        <v>56</v>
      </c>
      <c r="E22" s="3">
        <v>42706</v>
      </c>
      <c r="F22" s="10">
        <v>78200.350000000006</v>
      </c>
      <c r="G22" s="13">
        <v>6.9</v>
      </c>
      <c r="H22" s="6" t="s">
        <v>29</v>
      </c>
      <c r="I22" s="6" t="s">
        <v>48</v>
      </c>
      <c r="J22" s="40">
        <f t="shared" si="0"/>
        <v>78580.540000000008</v>
      </c>
      <c r="K22" s="40" t="str">
        <f>IF(Table1[[#This Row],[Salary]]&gt;Table1[[#This Row],[Department Average Salary]],"High Class", "Low Class")</f>
        <v>Low Class</v>
      </c>
    </row>
    <row r="23" spans="1:11" ht="16.5" customHeight="1" x14ac:dyDescent="0.2">
      <c r="A23" s="2" t="s">
        <v>94</v>
      </c>
      <c r="B23" s="6" t="s">
        <v>95</v>
      </c>
      <c r="C23" s="6" t="s">
        <v>96</v>
      </c>
      <c r="D23" s="6" t="s">
        <v>42</v>
      </c>
      <c r="E23" s="3">
        <v>43360</v>
      </c>
      <c r="F23" s="10">
        <v>69800.25</v>
      </c>
      <c r="G23" s="13">
        <v>5.2</v>
      </c>
      <c r="H23" s="6" t="s">
        <v>52</v>
      </c>
      <c r="I23" s="6" t="s">
        <v>97</v>
      </c>
      <c r="J23" s="40">
        <f t="shared" si="0"/>
        <v>69800.25</v>
      </c>
      <c r="K23" s="40" t="str">
        <f>IF(Table1[[#This Row],[Salary]]&gt;Table1[[#This Row],[Department Average Salary]],"High Class", "Low Class")</f>
        <v>Low Class</v>
      </c>
    </row>
    <row r="24" spans="1:11" ht="16.5" customHeight="1" x14ac:dyDescent="0.2">
      <c r="A24" s="2" t="s">
        <v>98</v>
      </c>
      <c r="B24" s="6" t="s">
        <v>99</v>
      </c>
      <c r="C24" s="6" t="s">
        <v>100</v>
      </c>
      <c r="D24" s="6" t="s">
        <v>28</v>
      </c>
      <c r="E24" s="3">
        <v>41021</v>
      </c>
      <c r="F24" s="10">
        <v>134800.95000000001</v>
      </c>
      <c r="G24" s="13">
        <v>14.6</v>
      </c>
      <c r="H24" s="6" t="s">
        <v>29</v>
      </c>
      <c r="I24" s="6" t="s">
        <v>101</v>
      </c>
      <c r="J24" s="40">
        <f t="shared" si="0"/>
        <v>134800.95000000001</v>
      </c>
      <c r="K24" s="40" t="str">
        <f>IF(Table1[[#This Row],[Salary]]&gt;Table1[[#This Row],[Department Average Salary]],"High Class", "Low Class")</f>
        <v>Low Class</v>
      </c>
    </row>
    <row r="25" spans="1:11" ht="16.5" customHeight="1" x14ac:dyDescent="0.2">
      <c r="A25" s="2" t="s">
        <v>102</v>
      </c>
      <c r="B25" s="6" t="s">
        <v>103</v>
      </c>
      <c r="C25" s="6" t="s">
        <v>104</v>
      </c>
      <c r="D25" s="6" t="s">
        <v>24</v>
      </c>
      <c r="E25" s="3">
        <v>43649</v>
      </c>
      <c r="F25" s="10">
        <v>58200.800000000003</v>
      </c>
      <c r="G25" s="13">
        <v>3.1</v>
      </c>
      <c r="H25" s="6" t="s">
        <v>19</v>
      </c>
      <c r="I25" s="6" t="s">
        <v>105</v>
      </c>
      <c r="J25" s="40">
        <f t="shared" si="0"/>
        <v>58200.800000000003</v>
      </c>
      <c r="K25" s="40" t="str">
        <f>IF(Table1[[#This Row],[Salary]]&gt;Table1[[#This Row],[Department Average Salary]],"High Class", "Low Class")</f>
        <v>Low Class</v>
      </c>
    </row>
    <row r="26" spans="1:11" ht="16.5" customHeight="1" x14ac:dyDescent="0.2">
      <c r="A26" s="2" t="s">
        <v>106</v>
      </c>
      <c r="B26" s="6" t="s">
        <v>107</v>
      </c>
      <c r="C26" s="6" t="s">
        <v>38</v>
      </c>
      <c r="D26" s="6" t="s">
        <v>12</v>
      </c>
      <c r="E26" s="3">
        <v>42885</v>
      </c>
      <c r="F26" s="10">
        <v>93600.6</v>
      </c>
      <c r="G26" s="13">
        <v>7.7</v>
      </c>
      <c r="H26" s="6" t="s">
        <v>34</v>
      </c>
      <c r="I26" s="6" t="s">
        <v>108</v>
      </c>
      <c r="J26" s="40">
        <f t="shared" si="0"/>
        <v>96000.675000000003</v>
      </c>
      <c r="K26" s="40" t="str">
        <f>IF(Table1[[#This Row],[Salary]]&gt;Table1[[#This Row],[Department Average Salary]],"High Class", "Low Class")</f>
        <v>Low Class</v>
      </c>
    </row>
    <row r="27" spans="1:11" ht="16.5" customHeight="1" x14ac:dyDescent="0.2">
      <c r="A27" s="2" t="s">
        <v>109</v>
      </c>
      <c r="B27" s="6" t="s">
        <v>110</v>
      </c>
      <c r="C27" s="6" t="s">
        <v>111</v>
      </c>
      <c r="D27" s="6" t="s">
        <v>18</v>
      </c>
      <c r="E27" s="3">
        <v>41939</v>
      </c>
      <c r="F27" s="10">
        <v>128300.2</v>
      </c>
      <c r="G27" s="13">
        <v>11.1</v>
      </c>
      <c r="H27" s="6" t="s">
        <v>43</v>
      </c>
      <c r="I27" s="6" t="s">
        <v>44</v>
      </c>
      <c r="J27" s="40">
        <f t="shared" si="0"/>
        <v>128300.2</v>
      </c>
      <c r="K27" s="40" t="str">
        <f>IF(Table1[[#This Row],[Salary]]&gt;Table1[[#This Row],[Department Average Salary]],"High Class", "Low Class")</f>
        <v>Low Class</v>
      </c>
    </row>
    <row r="28" spans="1:11" ht="16.5" customHeight="1" x14ac:dyDescent="0.2">
      <c r="A28" s="2" t="s">
        <v>112</v>
      </c>
      <c r="B28" s="6" t="s">
        <v>113</v>
      </c>
      <c r="C28" s="6" t="s">
        <v>114</v>
      </c>
      <c r="D28" s="6" t="s">
        <v>24</v>
      </c>
      <c r="E28" s="3">
        <v>42380</v>
      </c>
      <c r="F28" s="10">
        <v>74500.350000000006</v>
      </c>
      <c r="G28" s="13">
        <v>8.1999999999999993</v>
      </c>
      <c r="H28" s="6" t="s">
        <v>13</v>
      </c>
      <c r="I28" s="6" t="s">
        <v>115</v>
      </c>
      <c r="J28" s="40">
        <f t="shared" si="0"/>
        <v>74500.350000000006</v>
      </c>
      <c r="K28" s="40" t="str">
        <f>IF(Table1[[#This Row],[Salary]]&gt;Table1[[#This Row],[Department Average Salary]],"High Class", "Low Class")</f>
        <v>Low Class</v>
      </c>
    </row>
    <row r="29" spans="1:11" ht="16.5" customHeight="1" x14ac:dyDescent="0.2">
      <c r="A29" s="2" t="s">
        <v>116</v>
      </c>
      <c r="B29" s="6" t="s">
        <v>117</v>
      </c>
      <c r="C29" s="6" t="s">
        <v>118</v>
      </c>
      <c r="D29" s="6" t="s">
        <v>56</v>
      </c>
      <c r="E29" s="3">
        <v>42204</v>
      </c>
      <c r="F29" s="10">
        <v>81000.55</v>
      </c>
      <c r="G29" s="13">
        <v>9.9</v>
      </c>
      <c r="H29" s="6" t="s">
        <v>29</v>
      </c>
      <c r="I29" s="6" t="s">
        <v>119</v>
      </c>
      <c r="J29" s="40">
        <f t="shared" si="0"/>
        <v>81000.55</v>
      </c>
      <c r="K29" s="40" t="str">
        <f>IF(Table1[[#This Row],[Salary]]&gt;Table1[[#This Row],[Department Average Salary]],"High Class", "Low Class")</f>
        <v>Low Class</v>
      </c>
    </row>
    <row r="30" spans="1:11" ht="16.5" customHeight="1" x14ac:dyDescent="0.2">
      <c r="A30" s="2" t="s">
        <v>120</v>
      </c>
      <c r="B30" s="6" t="s">
        <v>121</v>
      </c>
      <c r="C30" s="6" t="s">
        <v>23</v>
      </c>
      <c r="D30" s="6" t="s">
        <v>18</v>
      </c>
      <c r="E30" s="3">
        <v>43409</v>
      </c>
      <c r="F30" s="10">
        <v>115800</v>
      </c>
      <c r="G30" s="13">
        <v>5.4</v>
      </c>
      <c r="H30" s="6" t="s">
        <v>34</v>
      </c>
      <c r="I30" s="6" t="s">
        <v>122</v>
      </c>
      <c r="J30" s="40">
        <f t="shared" si="0"/>
        <v>107441.15000000001</v>
      </c>
      <c r="K30" s="40" t="str">
        <f>IF(Table1[[#This Row],[Salary]]&gt;Table1[[#This Row],[Department Average Salary]],"High Class", "Low Class")</f>
        <v>High Class</v>
      </c>
    </row>
    <row r="31" spans="1:11" ht="16.5" customHeight="1" x14ac:dyDescent="0.2">
      <c r="A31" s="2" t="s">
        <v>123</v>
      </c>
      <c r="B31" s="6" t="s">
        <v>124</v>
      </c>
      <c r="C31" s="6" t="s">
        <v>125</v>
      </c>
      <c r="D31" s="6" t="s">
        <v>42</v>
      </c>
      <c r="E31" s="3">
        <v>41540</v>
      </c>
      <c r="F31" s="10">
        <v>99500.75</v>
      </c>
      <c r="G31" s="13">
        <v>12.7</v>
      </c>
      <c r="H31" s="6" t="s">
        <v>19</v>
      </c>
      <c r="I31" s="6" t="s">
        <v>126</v>
      </c>
      <c r="J31" s="40">
        <f t="shared" si="0"/>
        <v>99500.75</v>
      </c>
      <c r="K31" s="40" t="str">
        <f>IF(Table1[[#This Row],[Salary]]&gt;Table1[[#This Row],[Department Average Salary]],"High Class", "Low Class")</f>
        <v>Low Class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98CF20-4510-474F-8F40-1283F9D921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Analysis</vt:lpstr>
      <vt:lpstr>Dashboard</vt:lpstr>
      <vt:lpstr>Raw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Ibe</dc:creator>
  <cp:lastModifiedBy>Odey Divine</cp:lastModifiedBy>
  <dcterms:created xsi:type="dcterms:W3CDTF">2025-10-08T13:31:34Z</dcterms:created>
  <dcterms:modified xsi:type="dcterms:W3CDTF">2025-10-10T19:05:11Z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2025-10-06T00:00:00Z</vt:filetime>
  </property>
  <property fmtid="{D5CDD505-2E9C-101B-9397-08002B2CF9AE}" pid="3" name="Creator">
    <vt:lpwstr>Microsoft® Word LTSC</vt:lpwstr>
  </property>
  <property fmtid="{D5CDD505-2E9C-101B-9397-08002B2CF9AE}" pid="4" name="LastSaved">
    <vt:filetime>2025-10-08T00:00:00Z</vt:filetime>
  </property>
  <property fmtid="{D5CDD505-2E9C-101B-9397-08002B2CF9AE}" pid="5" name="Producer">
    <vt:lpwstr>3-Heights(TM) PDF Security Shell 4.8.25.2 (http://www.pdf-tools.com)</vt:lpwstr>
  </property>
</Properties>
</file>